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 Summary (Oct25-Jan27)" sheetId="1" state="visible" r:id="rId1"/>
    <sheet name="August 2026" sheetId="2" state="visible" r:id="rId2"/>
    <sheet name="July 2026" sheetId="3" state="visible" r:id="rId3"/>
    <sheet name="June 2026" sheetId="4" state="visible" r:id="rId4"/>
    <sheet name="April 2026" sheetId="5" state="visible" r:id="rId5"/>
    <sheet name="March 2026" sheetId="6" state="visible" r:id="rId6"/>
    <sheet name="February 2026" sheetId="7" state="visible" r:id="rId7"/>
    <sheet name="January 2026" sheetId="8" state="visible" r:id="rId8"/>
    <sheet name="December 2025" sheetId="9" state="visible" r:id="rId9"/>
    <sheet name="November 2025" sheetId="10" state="visible" r:id="rId10"/>
    <sheet name="October 202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334155"/>
      <sz val="9.5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172033"/>
      <sz val="10"/>
    </font>
    <font>
      <name val="Segoe UI"/>
      <color rgb="00475569"/>
      <sz val="10"/>
    </font>
    <font>
      <name val="Segoe UI"/>
      <b val="1"/>
      <color rgb="0015803D"/>
      <sz val="10"/>
    </font>
    <font>
      <name val="Segoe UI"/>
      <b val="1"/>
      <color rgb="000E7490"/>
      <sz val="10"/>
    </font>
    <font>
      <name val="Segoe UI"/>
      <b val="1"/>
      <color rgb="00B91C1C"/>
      <sz val="10"/>
    </font>
    <font>
      <name val="Segoe UI"/>
      <b val="1"/>
      <color rgb="00581C87"/>
      <sz val="10"/>
    </font>
    <font>
      <name val="Segoe UI"/>
      <b val="1"/>
      <color rgb="00BE185D"/>
      <sz val="10"/>
    </font>
    <font>
      <name val="Segoe UI"/>
      <b val="1"/>
      <color rgb="001E3A8A"/>
      <sz val="10"/>
    </font>
    <font>
      <name val="Segoe UI"/>
      <b val="1"/>
      <color rgb="001E40AF"/>
      <sz val="10.5"/>
    </font>
    <font>
      <name val="Segoe UI"/>
      <b val="1"/>
      <color rgb="00475569"/>
      <sz val="9.5"/>
    </font>
    <font>
      <name val="Segoe UI"/>
      <b val="1"/>
      <color rgb="001E3A8A"/>
      <sz val="11"/>
    </font>
    <font>
      <name val="Segoe UI"/>
      <b val="1"/>
      <color rgb="00FFFFFF"/>
      <sz val="15"/>
    </font>
    <font>
      <name val="Segoe UI"/>
      <b val="1"/>
      <color rgb="00000000"/>
      <sz val="11"/>
    </font>
    <font>
      <name val="Segoe UI"/>
      <b val="1"/>
      <color rgb="00FFFFFF"/>
      <sz val="9.5"/>
    </font>
    <font>
      <name val="Segoe UI"/>
      <b val="1"/>
      <color rgb="00000000"/>
      <sz val="9.5"/>
    </font>
    <font>
      <name val="Segoe UI"/>
      <color rgb="00CBD5E1"/>
      <sz val="10"/>
    </font>
    <font>
      <name val="Segoe UI"/>
      <b val="1"/>
      <color rgb="001E293B"/>
      <sz val="10"/>
    </font>
    <font>
      <name val="Segoe UI"/>
      <b val="1"/>
      <color rgb="0015803D"/>
      <sz val="9.5"/>
    </font>
    <font>
      <name val="Segoe UI"/>
      <color rgb="0094A3B8"/>
      <sz val="9"/>
    </font>
    <font>
      <name val="Segoe UI"/>
      <color rgb="00E2E8F0"/>
      <sz val="10"/>
    </font>
  </fonts>
  <fills count="24">
    <fill>
      <patternFill/>
    </fill>
    <fill>
      <patternFill patternType="gray125"/>
    </fill>
    <fill>
      <patternFill patternType="solid">
        <fgColor rgb="001557C0"/>
        <bgColor rgb="001557C0"/>
      </patternFill>
    </fill>
    <fill>
      <patternFill patternType="solid">
        <fgColor rgb="00EDF4FB"/>
        <bgColor rgb="00EDF4FB"/>
      </patternFill>
    </fill>
    <fill>
      <patternFill patternType="solid">
        <fgColor rgb="0000FFFF"/>
        <bgColor rgb="0000FFFF"/>
      </patternFill>
    </fill>
    <fill>
      <patternFill patternType="solid">
        <fgColor rgb="003F78C9"/>
        <bgColor rgb="003F78C9"/>
      </patternFill>
    </fill>
    <fill>
      <patternFill patternType="solid">
        <fgColor rgb="00B6D7A8"/>
        <bgColor rgb="00B6D7A8"/>
      </patternFill>
    </fill>
    <fill>
      <patternFill patternType="solid">
        <fgColor rgb="004B9AA7"/>
        <bgColor rgb="004B9AA7"/>
      </patternFill>
    </fill>
    <fill>
      <patternFill patternType="solid">
        <fgColor rgb="00FF0000"/>
        <bgColor rgb="00FF0000"/>
      </patternFill>
    </fill>
    <fill>
      <patternFill patternType="solid">
        <fgColor rgb="00D9EAD3"/>
        <bgColor rgb="00D9EAD3"/>
      </patternFill>
    </fill>
    <fill>
      <patternFill patternType="solid">
        <fgColor rgb="0074105A"/>
        <bgColor rgb="0074105A"/>
      </patternFill>
    </fill>
    <fill>
      <patternFill patternType="solid">
        <fgColor rgb="00B44F82"/>
        <bgColor rgb="00B44F82"/>
      </patternFill>
    </fill>
    <fill>
      <patternFill patternType="solid">
        <fgColor rgb="00F0FDF4"/>
        <bgColor rgb="00F0FDF4"/>
      </patternFill>
    </fill>
    <fill>
      <patternFill patternType="solid">
        <fgColor rgb="00ECFEFF"/>
        <bgColor rgb="00ECFEFF"/>
      </patternFill>
    </fill>
    <fill>
      <patternFill patternType="solid">
        <fgColor rgb="00FEF2F2"/>
        <bgColor rgb="00FEF2F2"/>
      </patternFill>
    </fill>
    <fill>
      <patternFill patternType="solid">
        <fgColor rgb="00FAF5FF"/>
        <bgColor rgb="00FAF5FF"/>
      </patternFill>
    </fill>
    <fill>
      <patternFill patternType="solid">
        <fgColor rgb="00FDF2F8"/>
        <bgColor rgb="00FDF2F8"/>
      </patternFill>
    </fill>
    <fill>
      <patternFill patternType="solid">
        <fgColor rgb="00EFF6FF"/>
        <bgColor rgb="00EFF6FF"/>
      </patternFill>
    </fill>
    <fill>
      <patternFill patternType="solid">
        <fgColor rgb="00DBEAFE"/>
        <bgColor rgb="00DBEAFE"/>
      </patternFill>
    </fill>
    <fill>
      <patternFill patternType="solid">
        <fgColor rgb="00E2E8F0"/>
        <bgColor rgb="00E2E8F0"/>
      </patternFill>
    </fill>
    <fill>
      <patternFill patternType="solid">
        <fgColor rgb="00BFDBFE"/>
        <bgColor rgb="00BFDBFE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indent="1"/>
    </xf>
    <xf numFmtId="0" fontId="6" fillId="0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1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164" fontId="13" fillId="18" borderId="2" applyAlignment="1" pivotButton="0" quotePrefix="0" xfId="0">
      <alignment horizontal="center" vertical="center"/>
    </xf>
    <xf numFmtId="0" fontId="5" fillId="19" borderId="1" pivotButton="0" quotePrefix="0" xfId="0"/>
    <xf numFmtId="0" fontId="14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164" fontId="15" fillId="20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5" fillId="21" borderId="2" applyAlignment="1" pivotButton="0" quotePrefix="0" xfId="0">
      <alignment horizontal="left" vertical="center" wrapText="1" indent="1"/>
    </xf>
    <xf numFmtId="0" fontId="3" fillId="6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20" fillId="2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5" fillId="22" borderId="2" applyAlignment="1" pivotButton="0" quotePrefix="0" xfId="0">
      <alignment horizontal="left" vertical="center" wrapText="1" indent="1"/>
    </xf>
    <xf numFmtId="0" fontId="4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21" fillId="19" borderId="1" applyAlignment="1" pivotButton="0" quotePrefix="0" xfId="0">
      <alignment horizontal="left" vertical="center" indent="1"/>
    </xf>
    <xf numFmtId="0" fontId="22" fillId="19" borderId="1" applyAlignment="1" pivotButton="0" quotePrefix="0" xfId="0">
      <alignment horizontal="center" vertical="center"/>
    </xf>
    <xf numFmtId="0" fontId="21" fillId="19" borderId="1" applyAlignment="1" pivotButton="0" quotePrefix="0" xfId="0">
      <alignment horizontal="center" vertical="center"/>
    </xf>
    <xf numFmtId="0" fontId="23" fillId="23" borderId="1" applyAlignment="1" pivotButton="0" quotePrefix="0" xfId="0">
      <alignment horizontal="center" vertical="center"/>
    </xf>
    <xf numFmtId="0" fontId="24" fillId="22" borderId="2" applyAlignment="1" pivotButton="0" quotePrefix="0" xfId="0">
      <alignment horizontal="center" vertical="center"/>
    </xf>
    <xf numFmtId="0" fontId="23" fillId="19" borderId="1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  <col width="15" customWidth="1" min="10" max="10"/>
  </cols>
  <sheetData>
    <row r="1" ht="36" customHeight="1">
      <c r="A1" s="1" t="inlineStr">
        <is>
          <t>VASUS ATTENDANCE TRACKER — PERIOD SUMMARY (OCT 2025 TO JAN 2027)</t>
        </is>
      </c>
    </row>
    <row r="2" ht="24" customHeight="1">
      <c r="A2" s="2" t="inlineStr">
        <is>
          <t>Consolidated staff attendance totals and percentages across all recorded months</t>
        </is>
      </c>
    </row>
    <row r="3" ht="10" customHeight="1"/>
    <row r="4" ht="36" customHeight="1">
      <c r="A4" s="3" t="inlineStr">
        <is>
          <t>Name</t>
        </is>
      </c>
      <c r="B4" s="4" t="inlineStr">
        <is>
          <t>Role</t>
        </is>
      </c>
      <c r="C4" s="5" t="inlineStr">
        <is>
          <t>P
(Present)</t>
        </is>
      </c>
      <c r="D4" s="6" t="inlineStr">
        <is>
          <t>CL
(Casual Leave)</t>
        </is>
      </c>
      <c r="E4" s="7" t="inlineStr">
        <is>
          <t>L
(Leave)</t>
        </is>
      </c>
      <c r="F4" s="8" t="inlineStr">
        <is>
          <t>HO
(Holiday)</t>
        </is>
      </c>
      <c r="G4" s="9" t="inlineStr">
        <is>
          <t>WO
(Week Off)</t>
        </is>
      </c>
      <c r="H4" s="10" t="inlineStr">
        <is>
          <t>CF
(Comp Off)</t>
        </is>
      </c>
      <c r="I4" s="4" t="inlineStr">
        <is>
          <t>Working
Days</t>
        </is>
      </c>
      <c r="J4" s="11" t="inlineStr">
        <is>
          <t>Attendance
%</t>
        </is>
      </c>
    </row>
    <row r="5" ht="27" customHeight="1">
      <c r="A5" s="12" t="inlineStr">
        <is>
          <t>DR CHINJU</t>
        </is>
      </c>
      <c r="B5" s="13" t="inlineStr">
        <is>
          <t>Doctor</t>
        </is>
      </c>
      <c r="C5" s="14" t="n">
        <v>165</v>
      </c>
      <c r="D5" s="15" t="n">
        <v>2</v>
      </c>
      <c r="E5" s="16" t="n">
        <v>0</v>
      </c>
      <c r="F5" s="14" t="n">
        <v>0</v>
      </c>
      <c r="G5" s="17" t="n">
        <v>32</v>
      </c>
      <c r="H5" s="18" t="n">
        <v>0</v>
      </c>
      <c r="I5" s="19" t="n">
        <v>167</v>
      </c>
      <c r="J5" s="20" t="n">
        <v>0.9880239520958084</v>
      </c>
    </row>
    <row r="6" ht="27" customHeight="1">
      <c r="A6" s="12" t="inlineStr">
        <is>
          <t>DR PRANAY</t>
        </is>
      </c>
      <c r="B6" s="13" t="inlineStr">
        <is>
          <t>Doctor</t>
        </is>
      </c>
      <c r="C6" s="14" t="n">
        <v>165</v>
      </c>
      <c r="D6" s="15" t="n">
        <v>2</v>
      </c>
      <c r="E6" s="16" t="n">
        <v>2</v>
      </c>
      <c r="F6" s="14" t="n">
        <v>0</v>
      </c>
      <c r="G6" s="17" t="n">
        <v>26</v>
      </c>
      <c r="H6" s="18" t="n">
        <v>3</v>
      </c>
      <c r="I6" s="19" t="n">
        <v>172</v>
      </c>
      <c r="J6" s="20" t="n">
        <v>0.9593023255813954</v>
      </c>
    </row>
    <row r="7" ht="27" customHeight="1">
      <c r="A7" s="12" t="inlineStr">
        <is>
          <t>DR BINDU</t>
        </is>
      </c>
      <c r="B7" s="13" t="inlineStr">
        <is>
          <t>Doctor</t>
        </is>
      </c>
      <c r="C7" s="14" t="n">
        <v>156</v>
      </c>
      <c r="D7" s="15" t="n">
        <v>5</v>
      </c>
      <c r="E7" s="16" t="n">
        <v>5</v>
      </c>
      <c r="F7" s="14" t="n">
        <v>1</v>
      </c>
      <c r="G7" s="17" t="n">
        <v>31</v>
      </c>
      <c r="H7" s="18" t="n">
        <v>0</v>
      </c>
      <c r="I7" s="19" t="n">
        <v>166</v>
      </c>
      <c r="J7" s="20" t="n">
        <v>0.9397590361445783</v>
      </c>
    </row>
    <row r="8" ht="27" customHeight="1">
      <c r="A8" s="12" t="inlineStr">
        <is>
          <t>DR SUNITHA</t>
        </is>
      </c>
      <c r="B8" s="13" t="inlineStr">
        <is>
          <t>Doctor</t>
        </is>
      </c>
      <c r="C8" s="14" t="n">
        <v>144</v>
      </c>
      <c r="D8" s="15" t="n">
        <v>5</v>
      </c>
      <c r="E8" s="16" t="n">
        <v>16</v>
      </c>
      <c r="F8" s="14" t="n">
        <v>0</v>
      </c>
      <c r="G8" s="17" t="n">
        <v>30</v>
      </c>
      <c r="H8" s="18" t="n">
        <v>3</v>
      </c>
      <c r="I8" s="19" t="n">
        <v>168</v>
      </c>
      <c r="J8" s="20" t="n">
        <v>0.8571428571428571</v>
      </c>
    </row>
    <row r="9" ht="27" customHeight="1">
      <c r="A9" s="12" t="inlineStr">
        <is>
          <t>DR VARUN</t>
        </is>
      </c>
      <c r="B9" s="13" t="inlineStr">
        <is>
          <t>Doctor</t>
        </is>
      </c>
      <c r="C9" s="14" t="n">
        <v>61</v>
      </c>
      <c r="D9" s="15" t="n">
        <v>2</v>
      </c>
      <c r="E9" s="16" t="n">
        <v>11</v>
      </c>
      <c r="F9" s="14" t="n">
        <v>0</v>
      </c>
      <c r="G9" s="17" t="n">
        <v>13</v>
      </c>
      <c r="H9" s="18" t="n">
        <v>0</v>
      </c>
      <c r="I9" s="19" t="n">
        <v>74</v>
      </c>
      <c r="J9" s="20" t="n">
        <v>0.8243243243243243</v>
      </c>
    </row>
    <row r="10" ht="27" customHeight="1">
      <c r="A10" s="12" t="inlineStr">
        <is>
          <t>SAI KUMAR</t>
        </is>
      </c>
      <c r="B10" s="13" t="inlineStr">
        <is>
          <t>Employee</t>
        </is>
      </c>
      <c r="C10" s="14" t="n">
        <v>40</v>
      </c>
      <c r="D10" s="15" t="n">
        <v>1</v>
      </c>
      <c r="E10" s="16" t="n">
        <v>0</v>
      </c>
      <c r="F10" s="14" t="n">
        <v>0</v>
      </c>
      <c r="G10" s="17" t="n">
        <v>7</v>
      </c>
      <c r="H10" s="18" t="n">
        <v>0</v>
      </c>
      <c r="I10" s="19" t="n">
        <v>41</v>
      </c>
      <c r="J10" s="20" t="n">
        <v>0.975609756097561</v>
      </c>
    </row>
    <row r="11" ht="27" customHeight="1">
      <c r="A11" s="12" t="inlineStr">
        <is>
          <t>NEELIMA</t>
        </is>
      </c>
      <c r="B11" s="13" t="inlineStr">
        <is>
          <t>Employee</t>
        </is>
      </c>
      <c r="C11" s="14" t="n">
        <v>207</v>
      </c>
      <c r="D11" s="15" t="n">
        <v>3</v>
      </c>
      <c r="E11" s="16" t="n">
        <v>0</v>
      </c>
      <c r="F11" s="14" t="n">
        <v>2</v>
      </c>
      <c r="G11" s="17" t="n">
        <v>37</v>
      </c>
      <c r="H11" s="18" t="n">
        <v>4</v>
      </c>
      <c r="I11" s="19" t="n">
        <v>214</v>
      </c>
      <c r="J11" s="20" t="n">
        <v>0.9672897196261683</v>
      </c>
    </row>
    <row r="12" ht="27" customHeight="1">
      <c r="A12" s="12" t="inlineStr">
        <is>
          <t>RAMESH</t>
        </is>
      </c>
      <c r="B12" s="13" t="inlineStr">
        <is>
          <t>Employee</t>
        </is>
      </c>
      <c r="C12" s="14" t="n">
        <v>203</v>
      </c>
      <c r="D12" s="15" t="n">
        <v>3</v>
      </c>
      <c r="E12" s="16" t="n">
        <v>3</v>
      </c>
      <c r="F12" s="14" t="n">
        <v>3</v>
      </c>
      <c r="G12" s="17" t="n">
        <v>39</v>
      </c>
      <c r="H12" s="18" t="n">
        <v>1</v>
      </c>
      <c r="I12" s="19" t="n">
        <v>210</v>
      </c>
      <c r="J12" s="20" t="n">
        <v>0.9666666666666667</v>
      </c>
    </row>
    <row r="13" ht="27" customHeight="1">
      <c r="A13" s="12" t="inlineStr">
        <is>
          <t>Ch Praveen Kumar</t>
        </is>
      </c>
      <c r="B13" s="13" t="inlineStr">
        <is>
          <t>Employee</t>
        </is>
      </c>
      <c r="C13" s="14" t="n">
        <v>211</v>
      </c>
      <c r="D13" s="15" t="n">
        <v>4</v>
      </c>
      <c r="E13" s="16" t="n">
        <v>0</v>
      </c>
      <c r="F13" s="14" t="n">
        <v>0</v>
      </c>
      <c r="G13" s="17" t="n">
        <v>35</v>
      </c>
      <c r="H13" s="18" t="n">
        <v>4</v>
      </c>
      <c r="I13" s="19" t="n">
        <v>219</v>
      </c>
      <c r="J13" s="20" t="n">
        <v>0.9634703196347032</v>
      </c>
    </row>
    <row r="14" ht="27" customHeight="1">
      <c r="A14" s="12" t="inlineStr">
        <is>
          <t>VANI</t>
        </is>
      </c>
      <c r="B14" s="13" t="inlineStr">
        <is>
          <t>Employee</t>
        </is>
      </c>
      <c r="C14" s="14" t="n">
        <v>201</v>
      </c>
      <c r="D14" s="15" t="n">
        <v>6</v>
      </c>
      <c r="E14" s="16" t="n">
        <v>5</v>
      </c>
      <c r="F14" s="14" t="n">
        <v>2</v>
      </c>
      <c r="G14" s="17" t="n">
        <v>35</v>
      </c>
      <c r="H14" s="18" t="n">
        <v>4</v>
      </c>
      <c r="I14" s="19" t="n">
        <v>216</v>
      </c>
      <c r="J14" s="20" t="n">
        <v>0.9305555555555556</v>
      </c>
    </row>
    <row r="15" ht="27" customHeight="1">
      <c r="A15" s="12" t="inlineStr">
        <is>
          <t>LAXMINARAYANA</t>
        </is>
      </c>
      <c r="B15" s="13" t="inlineStr">
        <is>
          <t>Employee</t>
        </is>
      </c>
      <c r="C15" s="14" t="n">
        <v>198</v>
      </c>
      <c r="D15" s="15" t="n">
        <v>6</v>
      </c>
      <c r="E15" s="16" t="n">
        <v>4</v>
      </c>
      <c r="F15" s="14" t="n">
        <v>3</v>
      </c>
      <c r="G15" s="17" t="n">
        <v>36</v>
      </c>
      <c r="H15" s="18" t="n">
        <v>5</v>
      </c>
      <c r="I15" s="19" t="n">
        <v>213</v>
      </c>
      <c r="J15" s="20" t="n">
        <v>0.9295774647887324</v>
      </c>
    </row>
    <row r="16" ht="27" customHeight="1">
      <c r="A16" s="12" t="inlineStr">
        <is>
          <t>KAVITHA</t>
        </is>
      </c>
      <c r="B16" s="13" t="inlineStr">
        <is>
          <t>Employee</t>
        </is>
      </c>
      <c r="C16" s="14" t="n">
        <v>197</v>
      </c>
      <c r="D16" s="15" t="n">
        <v>6</v>
      </c>
      <c r="E16" s="16" t="n">
        <v>8</v>
      </c>
      <c r="F16" s="14" t="n">
        <v>3</v>
      </c>
      <c r="G16" s="17" t="n">
        <v>38</v>
      </c>
      <c r="H16" s="18" t="n">
        <v>1</v>
      </c>
      <c r="I16" s="19" t="n">
        <v>212</v>
      </c>
      <c r="J16" s="20" t="n">
        <v>0.9292452830188679</v>
      </c>
    </row>
    <row r="17" ht="27" customHeight="1">
      <c r="A17" s="12" t="inlineStr">
        <is>
          <t>VAISHNAVI</t>
        </is>
      </c>
      <c r="B17" s="13" t="inlineStr">
        <is>
          <t>Employee</t>
        </is>
      </c>
      <c r="C17" s="14" t="n">
        <v>39</v>
      </c>
      <c r="D17" s="15" t="n">
        <v>2</v>
      </c>
      <c r="E17" s="16" t="n">
        <v>1</v>
      </c>
      <c r="F17" s="14" t="n">
        <v>0</v>
      </c>
      <c r="G17" s="17" t="n">
        <v>8</v>
      </c>
      <c r="H17" s="18" t="n">
        <v>0</v>
      </c>
      <c r="I17" s="19" t="n">
        <v>42</v>
      </c>
      <c r="J17" s="20" t="n">
        <v>0.9285714285714286</v>
      </c>
    </row>
    <row r="18" ht="27" customHeight="1">
      <c r="A18" s="12" t="inlineStr">
        <is>
          <t>MANI</t>
        </is>
      </c>
      <c r="B18" s="13" t="inlineStr">
        <is>
          <t>Employee</t>
        </is>
      </c>
      <c r="C18" s="14" t="n">
        <v>197</v>
      </c>
      <c r="D18" s="15" t="n">
        <v>7</v>
      </c>
      <c r="E18" s="16" t="n">
        <v>9</v>
      </c>
      <c r="F18" s="14" t="n">
        <v>1</v>
      </c>
      <c r="G18" s="17" t="n">
        <v>36</v>
      </c>
      <c r="H18" s="18" t="n">
        <v>3</v>
      </c>
      <c r="I18" s="19" t="n">
        <v>216</v>
      </c>
      <c r="J18" s="20" t="n">
        <v>0.9120370370370371</v>
      </c>
    </row>
    <row r="19" ht="27" customHeight="1">
      <c r="A19" s="12" t="inlineStr">
        <is>
          <t>VAIDEHI</t>
        </is>
      </c>
      <c r="B19" s="13" t="inlineStr">
        <is>
          <t>Employee</t>
        </is>
      </c>
      <c r="C19" s="14" t="n">
        <v>82</v>
      </c>
      <c r="D19" s="15" t="n">
        <v>4</v>
      </c>
      <c r="E19" s="16" t="n">
        <v>4</v>
      </c>
      <c r="F19" s="14" t="n">
        <v>0</v>
      </c>
      <c r="G19" s="17" t="n">
        <v>16</v>
      </c>
      <c r="H19" s="18" t="n">
        <v>0</v>
      </c>
      <c r="I19" s="19" t="n">
        <v>90</v>
      </c>
      <c r="J19" s="20" t="n">
        <v>0.9111111111111111</v>
      </c>
    </row>
    <row r="20" ht="27" customHeight="1">
      <c r="A20" s="12" t="inlineStr">
        <is>
          <t>CHANIKYA</t>
        </is>
      </c>
      <c r="B20" s="13" t="inlineStr">
        <is>
          <t>Employee</t>
        </is>
      </c>
      <c r="C20" s="14" t="n">
        <v>201</v>
      </c>
      <c r="D20" s="15" t="n">
        <v>6</v>
      </c>
      <c r="E20" s="16" t="n">
        <v>9</v>
      </c>
      <c r="F20" s="14" t="n">
        <v>3</v>
      </c>
      <c r="G20" s="17" t="n">
        <v>30</v>
      </c>
      <c r="H20" s="18" t="n">
        <v>6</v>
      </c>
      <c r="I20" s="19" t="n">
        <v>222</v>
      </c>
      <c r="J20" s="20" t="n">
        <v>0.9054054054054054</v>
      </c>
    </row>
    <row r="21" ht="27" customHeight="1">
      <c r="A21" s="12" t="inlineStr">
        <is>
          <t>SIRISHA</t>
        </is>
      </c>
      <c r="B21" s="13" t="inlineStr">
        <is>
          <t>Employee</t>
        </is>
      </c>
      <c r="C21" s="14" t="n">
        <v>196</v>
      </c>
      <c r="D21" s="15" t="n">
        <v>8</v>
      </c>
      <c r="E21" s="16" t="n">
        <v>8</v>
      </c>
      <c r="F21" s="14" t="n">
        <v>2</v>
      </c>
      <c r="G21" s="17" t="n">
        <v>33</v>
      </c>
      <c r="H21" s="18" t="n">
        <v>6</v>
      </c>
      <c r="I21" s="19" t="n">
        <v>218</v>
      </c>
      <c r="J21" s="20" t="n">
        <v>0.8990825688073395</v>
      </c>
    </row>
    <row r="22" ht="27" customHeight="1">
      <c r="A22" s="12" t="inlineStr">
        <is>
          <t>RAVALI</t>
        </is>
      </c>
      <c r="B22" s="13" t="inlineStr">
        <is>
          <t>Employee</t>
        </is>
      </c>
      <c r="C22" s="14" t="n">
        <v>100</v>
      </c>
      <c r="D22" s="15" t="n">
        <v>5</v>
      </c>
      <c r="E22" s="16" t="n">
        <v>10</v>
      </c>
      <c r="F22" s="14" t="n">
        <v>3</v>
      </c>
      <c r="G22" s="17" t="n">
        <v>22</v>
      </c>
      <c r="H22" s="18" t="n">
        <v>0</v>
      </c>
      <c r="I22" s="19" t="n">
        <v>115</v>
      </c>
      <c r="J22" s="20" t="n">
        <v>0.8695652173913043</v>
      </c>
    </row>
    <row r="23" ht="27" customHeight="1">
      <c r="A23" s="12" t="inlineStr">
        <is>
          <t>VITTAL</t>
        </is>
      </c>
      <c r="B23" s="13" t="inlineStr">
        <is>
          <t>Employee</t>
        </is>
      </c>
      <c r="C23" s="14" t="n">
        <v>20</v>
      </c>
      <c r="D23" s="15" t="n">
        <v>1</v>
      </c>
      <c r="E23" s="16" t="n">
        <v>1</v>
      </c>
      <c r="F23" s="14" t="n">
        <v>2</v>
      </c>
      <c r="G23" s="17" t="n">
        <v>3</v>
      </c>
      <c r="H23" s="18" t="n">
        <v>1</v>
      </c>
      <c r="I23" s="19" t="n">
        <v>23</v>
      </c>
      <c r="J23" s="20" t="n">
        <v>0.8695652173913043</v>
      </c>
    </row>
    <row r="24" ht="27" customHeight="1">
      <c r="A24" s="12" t="inlineStr">
        <is>
          <t>SAI CHARAN</t>
        </is>
      </c>
      <c r="B24" s="13" t="inlineStr">
        <is>
          <t>Employee</t>
        </is>
      </c>
      <c r="C24" s="14" t="n">
        <v>181</v>
      </c>
      <c r="D24" s="15" t="n">
        <v>8</v>
      </c>
      <c r="E24" s="16" t="n">
        <v>21</v>
      </c>
      <c r="F24" s="14" t="n">
        <v>2</v>
      </c>
      <c r="G24" s="17" t="n">
        <v>39</v>
      </c>
      <c r="H24" s="18" t="n">
        <v>1</v>
      </c>
      <c r="I24" s="19" t="n">
        <v>211</v>
      </c>
      <c r="J24" s="20" t="n">
        <v>0.8578199052132701</v>
      </c>
    </row>
    <row r="25" ht="27" customHeight="1">
      <c r="A25" s="12" t="inlineStr">
        <is>
          <t>PHANI</t>
        </is>
      </c>
      <c r="B25" s="13" t="inlineStr">
        <is>
          <t>Employee</t>
        </is>
      </c>
      <c r="C25" s="14" t="n">
        <v>194</v>
      </c>
      <c r="D25" s="15" t="n">
        <v>8</v>
      </c>
      <c r="E25" s="16" t="n">
        <v>16</v>
      </c>
      <c r="F25" s="14" t="n">
        <v>0</v>
      </c>
      <c r="G25" s="17" t="n">
        <v>25</v>
      </c>
      <c r="H25" s="18" t="n">
        <v>11</v>
      </c>
      <c r="I25" s="19" t="n">
        <v>229</v>
      </c>
      <c r="J25" s="20" t="n">
        <v>0.8471615720524017</v>
      </c>
    </row>
    <row r="26" ht="27" customHeight="1">
      <c r="A26" s="12" t="inlineStr">
        <is>
          <t>PRAVEEN KUMAR</t>
        </is>
      </c>
      <c r="B26" s="13" t="inlineStr">
        <is>
          <t>Employee</t>
        </is>
      </c>
      <c r="C26" s="14" t="n">
        <v>97</v>
      </c>
      <c r="D26" s="15" t="n">
        <v>4</v>
      </c>
      <c r="E26" s="16" t="n">
        <v>26</v>
      </c>
      <c r="F26" s="14" t="n">
        <v>1</v>
      </c>
      <c r="G26" s="17" t="n">
        <v>26</v>
      </c>
      <c r="H26" s="18" t="n">
        <v>1</v>
      </c>
      <c r="I26" s="19" t="n">
        <v>128</v>
      </c>
      <c r="J26" s="20" t="n">
        <v>0.7578125</v>
      </c>
    </row>
    <row r="27" ht="30" customHeight="1">
      <c r="A27" s="21" t="inlineStr">
        <is>
          <t>Grand Total / Overall Staff</t>
        </is>
      </c>
      <c r="B27" s="22" t="inlineStr">
        <is>
          <t>22 Staff</t>
        </is>
      </c>
      <c r="C27" s="23">
        <f>SUM(C5:C26)</f>
        <v/>
      </c>
      <c r="D27" s="23">
        <f>SUM(D5:D26)</f>
        <v/>
      </c>
      <c r="E27" s="23">
        <f>SUM(E5:E26)</f>
        <v/>
      </c>
      <c r="F27" s="23">
        <f>SUM(F5:F26)</f>
        <v/>
      </c>
      <c r="G27" s="23">
        <f>SUM(G5:G26)</f>
        <v/>
      </c>
      <c r="H27" s="23">
        <f>SUM(H5:H26)</f>
        <v/>
      </c>
      <c r="I27" s="23">
        <f>SUM(I5:I26)</f>
        <v/>
      </c>
      <c r="J27" s="24">
        <f>IF(I27&gt;0, C27/I27, 0)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11" customWidth="1" min="39" max="39"/>
    <col width="14" customWidth="1" min="40" max="40"/>
  </cols>
  <sheetData>
    <row r="1" ht="36" customHeight="1">
      <c r="A1" s="25" t="inlineStr">
        <is>
          <t>VASUS ATTENDANCE TRACKER — AUGUST 2026</t>
        </is>
      </c>
    </row>
    <row r="2" ht="24" customHeight="1">
      <c r="A2" s="2" t="inlineStr">
        <is>
          <t>Status Codes:  [P] Present (Green)  |  [CL] Casual Leave (Teal)  |  [L] Leave (Red)  |  [WO] Week Off (Purple)  |  [HO] Holiday (Mint)  |  [CF] Comp Off (Pink)  |  [-] Blank</t>
        </is>
      </c>
    </row>
    <row r="3" ht="10" customHeight="1"/>
    <row r="4" ht="36" customHeight="1">
      <c r="A4" s="26" t="inlineStr">
        <is>
          <t>Employee / Doctor</t>
        </is>
      </c>
      <c r="B4" s="27" t="inlineStr">
        <is>
          <t>1
Sat</t>
        </is>
      </c>
      <c r="C4" s="27" t="inlineStr">
        <is>
          <t>2
Sun</t>
        </is>
      </c>
      <c r="D4" s="27" t="inlineStr">
        <is>
          <t>3
Mon</t>
        </is>
      </c>
      <c r="E4" s="27" t="inlineStr">
        <is>
          <t>4
Tue</t>
        </is>
      </c>
      <c r="F4" s="27" t="inlineStr">
        <is>
          <t>5
Wed</t>
        </is>
      </c>
      <c r="G4" s="27" t="inlineStr">
        <is>
          <t>6
Thu</t>
        </is>
      </c>
      <c r="H4" s="27" t="inlineStr">
        <is>
          <t>7
Fri</t>
        </is>
      </c>
      <c r="I4" s="27" t="inlineStr">
        <is>
          <t>8
Sat</t>
        </is>
      </c>
      <c r="J4" s="27" t="inlineStr">
        <is>
          <t>9
Sun</t>
        </is>
      </c>
      <c r="K4" s="27" t="inlineStr">
        <is>
          <t>10
Mon</t>
        </is>
      </c>
      <c r="L4" s="27" t="inlineStr">
        <is>
          <t>11
Tue</t>
        </is>
      </c>
      <c r="M4" s="27" t="inlineStr">
        <is>
          <t>12
Wed</t>
        </is>
      </c>
      <c r="N4" s="27" t="inlineStr">
        <is>
          <t>13
Thu</t>
        </is>
      </c>
      <c r="O4" s="27" t="inlineStr">
        <is>
          <t>14
Fri</t>
        </is>
      </c>
      <c r="P4" s="27" t="inlineStr">
        <is>
          <t>15
Sat</t>
        </is>
      </c>
      <c r="Q4" s="27" t="inlineStr">
        <is>
          <t>16
Sun</t>
        </is>
      </c>
      <c r="R4" s="27" t="inlineStr">
        <is>
          <t>17
Mon</t>
        </is>
      </c>
      <c r="S4" s="27" t="inlineStr">
        <is>
          <t>18
Tue</t>
        </is>
      </c>
      <c r="T4" s="27" t="inlineStr">
        <is>
          <t>19
Wed</t>
        </is>
      </c>
      <c r="U4" s="27" t="inlineStr">
        <is>
          <t>20
Thu</t>
        </is>
      </c>
      <c r="V4" s="27" t="inlineStr">
        <is>
          <t>21
Fri</t>
        </is>
      </c>
      <c r="W4" s="27" t="inlineStr">
        <is>
          <t>22
Sat</t>
        </is>
      </c>
      <c r="X4" s="27" t="inlineStr">
        <is>
          <t>23
Sun</t>
        </is>
      </c>
      <c r="Y4" s="27" t="inlineStr">
        <is>
          <t>24
Mon</t>
        </is>
      </c>
      <c r="Z4" s="27" t="inlineStr">
        <is>
          <t>25
Tue</t>
        </is>
      </c>
      <c r="AA4" s="27" t="inlineStr">
        <is>
          <t>26
Wed</t>
        </is>
      </c>
      <c r="AB4" s="27" t="inlineStr">
        <is>
          <t>27
Thu</t>
        </is>
      </c>
      <c r="AC4" s="27" t="inlineStr">
        <is>
          <t>28
Fri</t>
        </is>
      </c>
      <c r="AD4" s="27" t="inlineStr">
        <is>
          <t>29
Sat</t>
        </is>
      </c>
      <c r="AE4" s="27" t="inlineStr">
        <is>
          <t>30
Sun</t>
        </is>
      </c>
      <c r="AF4" s="27" t="inlineStr">
        <is>
          <t>31
Mon</t>
        </is>
      </c>
      <c r="AG4" s="28" t="inlineStr">
        <is>
          <t>P</t>
        </is>
      </c>
      <c r="AH4" s="29" t="inlineStr">
        <is>
          <t>CL</t>
        </is>
      </c>
      <c r="AI4" s="30" t="inlineStr">
        <is>
          <t>L</t>
        </is>
      </c>
      <c r="AJ4" s="31" t="inlineStr">
        <is>
          <t>WO</t>
        </is>
      </c>
      <c r="AK4" s="32" t="inlineStr">
        <is>
          <t>HO</t>
        </is>
      </c>
      <c r="AL4" s="33" t="inlineStr">
        <is>
          <t>CF</t>
        </is>
      </c>
      <c r="AM4" s="27" t="inlineStr">
        <is>
          <t>Working
Days</t>
        </is>
      </c>
      <c r="AN4" s="34" t="inlineStr">
        <is>
          <t>Attendance
%</t>
        </is>
      </c>
    </row>
    <row r="5" ht="32" customHeight="1">
      <c r="A5" s="35" t="inlineStr">
        <is>
          <t>DR PRANAY
Doctor</t>
        </is>
      </c>
      <c r="B5" s="36" t="inlineStr">
        <is>
          <t>P</t>
        </is>
      </c>
      <c r="C5" s="36" t="inlineStr">
        <is>
          <t>P</t>
        </is>
      </c>
      <c r="D5" s="36" t="inlineStr">
        <is>
          <t>P</t>
        </is>
      </c>
      <c r="E5" s="36" t="inlineStr">
        <is>
          <t>P</t>
        </is>
      </c>
      <c r="F5" s="36" t="inlineStr">
        <is>
          <t>P</t>
        </is>
      </c>
      <c r="G5" s="36" t="inlineStr">
        <is>
          <t>P</t>
        </is>
      </c>
      <c r="H5" s="36" t="inlineStr">
        <is>
          <t>P</t>
        </is>
      </c>
      <c r="I5" s="37" t="inlineStr">
        <is>
          <t>WO</t>
        </is>
      </c>
      <c r="J5" s="36" t="inlineStr">
        <is>
          <t>P</t>
        </is>
      </c>
      <c r="K5" s="36" t="inlineStr">
        <is>
          <t>P</t>
        </is>
      </c>
      <c r="L5" s="36" t="inlineStr">
        <is>
          <t>P</t>
        </is>
      </c>
      <c r="M5" s="36" t="inlineStr">
        <is>
          <t>P</t>
        </is>
      </c>
      <c r="N5" s="36" t="inlineStr">
        <is>
          <t>P</t>
        </is>
      </c>
      <c r="O5" s="36" t="inlineStr">
        <is>
          <t>P</t>
        </is>
      </c>
      <c r="P5" s="37" t="inlineStr">
        <is>
          <t>WO</t>
        </is>
      </c>
      <c r="Q5" s="36" t="inlineStr">
        <is>
          <t>P</t>
        </is>
      </c>
      <c r="R5" s="36" t="inlineStr">
        <is>
          <t>P</t>
        </is>
      </c>
      <c r="S5" s="36" t="inlineStr">
        <is>
          <t>P</t>
        </is>
      </c>
      <c r="T5" s="36" t="inlineStr">
        <is>
          <t>P</t>
        </is>
      </c>
      <c r="U5" s="36" t="inlineStr">
        <is>
          <t>P</t>
        </is>
      </c>
      <c r="V5" s="36" t="inlineStr">
        <is>
          <t>P</t>
        </is>
      </c>
      <c r="W5" s="37" t="inlineStr">
        <is>
          <t>WO</t>
        </is>
      </c>
      <c r="X5" s="36" t="inlineStr">
        <is>
          <t>P</t>
        </is>
      </c>
      <c r="Y5" s="36" t="inlineStr">
        <is>
          <t>P</t>
        </is>
      </c>
      <c r="Z5" s="36" t="inlineStr">
        <is>
          <t>P</t>
        </is>
      </c>
      <c r="AA5" s="36" t="inlineStr">
        <is>
          <t>P</t>
        </is>
      </c>
      <c r="AB5" s="36" t="inlineStr">
        <is>
          <t>P</t>
        </is>
      </c>
      <c r="AC5" s="36" t="inlineStr">
        <is>
          <t>P</t>
        </is>
      </c>
      <c r="AD5" s="37" t="inlineStr">
        <is>
          <t>WO</t>
        </is>
      </c>
      <c r="AE5" s="36" t="inlineStr">
        <is>
          <t>P</t>
        </is>
      </c>
      <c r="AF5" s="38" t="inlineStr">
        <is>
          <t>-</t>
        </is>
      </c>
      <c r="AG5" s="39">
        <f>COUNTIF(B5:AF5, "P")</f>
        <v/>
      </c>
      <c r="AH5" s="15">
        <f>COUNTIF(B5:AF5, "CL")</f>
        <v/>
      </c>
      <c r="AI5" s="16">
        <f>COUNTIF(B5:AF5, "L")</f>
        <v/>
      </c>
      <c r="AJ5" s="17">
        <f>COUNTIF(B5:AF5, "WO")</f>
        <v/>
      </c>
      <c r="AK5" s="14">
        <f>COUNTIF(B5:AF5, "HO")</f>
        <v/>
      </c>
      <c r="AL5" s="18">
        <f>COUNTIF(B5:AF5, "CF")</f>
        <v/>
      </c>
      <c r="AM5" s="19">
        <f>AG5+AH5+AI5+AL5</f>
        <v/>
      </c>
      <c r="AN5" s="20">
        <f>IF(AM5&gt;0, AG5/AM5, 0)</f>
        <v/>
      </c>
    </row>
    <row r="6" ht="32" customHeight="1">
      <c r="A6" s="40" t="inlineStr">
        <is>
          <t>DR CHINJU
Doctor</t>
        </is>
      </c>
      <c r="B6" s="36" t="inlineStr">
        <is>
          <t>P</t>
        </is>
      </c>
      <c r="C6" s="37" t="inlineStr">
        <is>
          <t>WO</t>
        </is>
      </c>
      <c r="D6" s="36" t="inlineStr">
        <is>
          <t>P</t>
        </is>
      </c>
      <c r="E6" s="36" t="inlineStr">
        <is>
          <t>P</t>
        </is>
      </c>
      <c r="F6" s="36" t="inlineStr">
        <is>
          <t>P</t>
        </is>
      </c>
      <c r="G6" s="36" t="inlineStr">
        <is>
          <t>P</t>
        </is>
      </c>
      <c r="H6" s="36" t="inlineStr">
        <is>
          <t>P</t>
        </is>
      </c>
      <c r="I6" s="36" t="inlineStr">
        <is>
          <t>P</t>
        </is>
      </c>
      <c r="J6" s="37" t="inlineStr">
        <is>
          <t>WO</t>
        </is>
      </c>
      <c r="K6" s="36" t="inlineStr">
        <is>
          <t>P</t>
        </is>
      </c>
      <c r="L6" s="36" t="inlineStr">
        <is>
          <t>P</t>
        </is>
      </c>
      <c r="M6" s="36" t="inlineStr">
        <is>
          <t>P</t>
        </is>
      </c>
      <c r="N6" s="36" t="inlineStr">
        <is>
          <t>P</t>
        </is>
      </c>
      <c r="O6" s="36" t="inlineStr">
        <is>
          <t>P</t>
        </is>
      </c>
      <c r="P6" s="36" t="inlineStr">
        <is>
          <t>P</t>
        </is>
      </c>
      <c r="Q6" s="37" t="inlineStr">
        <is>
          <t>WO</t>
        </is>
      </c>
      <c r="R6" s="36" t="inlineStr">
        <is>
          <t>P</t>
        </is>
      </c>
      <c r="S6" s="36" t="inlineStr">
        <is>
          <t>P</t>
        </is>
      </c>
      <c r="T6" s="36" t="inlineStr">
        <is>
          <t>P</t>
        </is>
      </c>
      <c r="U6" s="36" t="inlineStr">
        <is>
          <t>P</t>
        </is>
      </c>
      <c r="V6" s="36" t="inlineStr">
        <is>
          <t>P</t>
        </is>
      </c>
      <c r="W6" s="36" t="inlineStr">
        <is>
          <t>P</t>
        </is>
      </c>
      <c r="X6" s="37" t="inlineStr">
        <is>
          <t>WO</t>
        </is>
      </c>
      <c r="Y6" s="36" t="inlineStr">
        <is>
          <t>P</t>
        </is>
      </c>
      <c r="Z6" s="36" t="inlineStr">
        <is>
          <t>P</t>
        </is>
      </c>
      <c r="AA6" s="36" t="inlineStr">
        <is>
          <t>P</t>
        </is>
      </c>
      <c r="AB6" s="36" t="inlineStr">
        <is>
          <t>P</t>
        </is>
      </c>
      <c r="AC6" s="36" t="inlineStr">
        <is>
          <t>P</t>
        </is>
      </c>
      <c r="AD6" s="36" t="inlineStr">
        <is>
          <t>P</t>
        </is>
      </c>
      <c r="AE6" s="37" t="inlineStr">
        <is>
          <t>WO</t>
        </is>
      </c>
      <c r="AF6" s="38" t="inlineStr">
        <is>
          <t>-</t>
        </is>
      </c>
      <c r="AG6" s="39">
        <f>COUNTIF(B6:AF6, "P")</f>
        <v/>
      </c>
      <c r="AH6" s="15">
        <f>COUNTIF(B6:AF6, "CL")</f>
        <v/>
      </c>
      <c r="AI6" s="16">
        <f>COUNTIF(B6:AF6, "L")</f>
        <v/>
      </c>
      <c r="AJ6" s="17">
        <f>COUNTIF(B6:AF6, "WO")</f>
        <v/>
      </c>
      <c r="AK6" s="14">
        <f>COUNTIF(B6:AF6, "HO")</f>
        <v/>
      </c>
      <c r="AL6" s="18">
        <f>COUNTIF(B6:AF6, "CF")</f>
        <v/>
      </c>
      <c r="AM6" s="19">
        <f>AG6+AH6+AI6+AL6</f>
        <v/>
      </c>
      <c r="AN6" s="20">
        <f>IF(AM6&gt;0, AG6/AM6, 0)</f>
        <v/>
      </c>
    </row>
    <row r="7" ht="32" customHeight="1">
      <c r="A7" s="35" t="inlineStr">
        <is>
          <t>DR SUNITHA
Doctor</t>
        </is>
      </c>
      <c r="B7" s="36" t="inlineStr">
        <is>
          <t>P</t>
        </is>
      </c>
      <c r="C7" s="37" t="inlineStr">
        <is>
          <t>WO</t>
        </is>
      </c>
      <c r="D7" s="36" t="inlineStr">
        <is>
          <t>P</t>
        </is>
      </c>
      <c r="E7" s="36" t="inlineStr">
        <is>
          <t>P</t>
        </is>
      </c>
      <c r="F7" s="36" t="inlineStr">
        <is>
          <t>P</t>
        </is>
      </c>
      <c r="G7" s="36" t="inlineStr">
        <is>
          <t>P</t>
        </is>
      </c>
      <c r="H7" s="36" t="inlineStr">
        <is>
          <t>P</t>
        </is>
      </c>
      <c r="I7" s="36" t="inlineStr">
        <is>
          <t>P</t>
        </is>
      </c>
      <c r="J7" s="37" t="inlineStr">
        <is>
          <t>WO</t>
        </is>
      </c>
      <c r="K7" s="36" t="inlineStr">
        <is>
          <t>P</t>
        </is>
      </c>
      <c r="L7" s="36" t="inlineStr">
        <is>
          <t>P</t>
        </is>
      </c>
      <c r="M7" s="36" t="inlineStr">
        <is>
          <t>P</t>
        </is>
      </c>
      <c r="N7" s="36" t="inlineStr">
        <is>
          <t>P</t>
        </is>
      </c>
      <c r="O7" s="36" t="inlineStr">
        <is>
          <t>P</t>
        </is>
      </c>
      <c r="P7" s="36" t="inlineStr">
        <is>
          <t>P</t>
        </is>
      </c>
      <c r="Q7" s="37" t="inlineStr">
        <is>
          <t>WO</t>
        </is>
      </c>
      <c r="R7" s="36" t="inlineStr">
        <is>
          <t>P</t>
        </is>
      </c>
      <c r="S7" s="36" t="inlineStr">
        <is>
          <t>P</t>
        </is>
      </c>
      <c r="T7" s="36" t="inlineStr">
        <is>
          <t>P</t>
        </is>
      </c>
      <c r="U7" s="36" t="inlineStr">
        <is>
          <t>P</t>
        </is>
      </c>
      <c r="V7" s="36" t="inlineStr">
        <is>
          <t>P</t>
        </is>
      </c>
      <c r="W7" s="36" t="inlineStr">
        <is>
          <t>P</t>
        </is>
      </c>
      <c r="X7" s="37" t="inlineStr">
        <is>
          <t>WO</t>
        </is>
      </c>
      <c r="Y7" s="36" t="inlineStr">
        <is>
          <t>P</t>
        </is>
      </c>
      <c r="Z7" s="36" t="inlineStr">
        <is>
          <t>P</t>
        </is>
      </c>
      <c r="AA7" s="36" t="inlineStr">
        <is>
          <t>P</t>
        </is>
      </c>
      <c r="AB7" s="36" t="inlineStr">
        <is>
          <t>P</t>
        </is>
      </c>
      <c r="AC7" s="36" t="inlineStr">
        <is>
          <t>P</t>
        </is>
      </c>
      <c r="AD7" s="36" t="inlineStr">
        <is>
          <t>P</t>
        </is>
      </c>
      <c r="AE7" s="37" t="inlineStr">
        <is>
          <t>WO</t>
        </is>
      </c>
      <c r="AF7" s="38" t="inlineStr">
        <is>
          <t>-</t>
        </is>
      </c>
      <c r="AG7" s="39">
        <f>COUNTIF(B7:AF7, "P")</f>
        <v/>
      </c>
      <c r="AH7" s="15">
        <f>COUNTIF(B7:AF7, "CL")</f>
        <v/>
      </c>
      <c r="AI7" s="16">
        <f>COUNTIF(B7:AF7, "L")</f>
        <v/>
      </c>
      <c r="AJ7" s="17">
        <f>COUNTIF(B7:AF7, "WO")</f>
        <v/>
      </c>
      <c r="AK7" s="14">
        <f>COUNTIF(B7:AF7, "HO")</f>
        <v/>
      </c>
      <c r="AL7" s="18">
        <f>COUNTIF(B7:AF7, "CF")</f>
        <v/>
      </c>
      <c r="AM7" s="19">
        <f>AG7+AH7+AI7+AL7</f>
        <v/>
      </c>
      <c r="AN7" s="20">
        <f>IF(AM7&gt;0, AG7/AM7, 0)</f>
        <v/>
      </c>
    </row>
    <row r="8" ht="32" customHeight="1">
      <c r="A8" s="40" t="inlineStr">
        <is>
          <t>DR BINDU
Doctor</t>
        </is>
      </c>
      <c r="B8" s="36" t="inlineStr">
        <is>
          <t>P</t>
        </is>
      </c>
      <c r="C8" s="37" t="inlineStr">
        <is>
          <t>WO</t>
        </is>
      </c>
      <c r="D8" s="36" t="inlineStr">
        <is>
          <t>P</t>
        </is>
      </c>
      <c r="E8" s="36" t="inlineStr">
        <is>
          <t>P</t>
        </is>
      </c>
      <c r="F8" s="36" t="inlineStr">
        <is>
          <t>P</t>
        </is>
      </c>
      <c r="G8" s="36" t="inlineStr">
        <is>
          <t>P</t>
        </is>
      </c>
      <c r="H8" s="36" t="inlineStr">
        <is>
          <t>P</t>
        </is>
      </c>
      <c r="I8" s="36" t="inlineStr">
        <is>
          <t>P</t>
        </is>
      </c>
      <c r="J8" s="37" t="inlineStr">
        <is>
          <t>WO</t>
        </is>
      </c>
      <c r="K8" s="41" t="inlineStr">
        <is>
          <t>CL</t>
        </is>
      </c>
      <c r="L8" s="42" t="inlineStr">
        <is>
          <t>L</t>
        </is>
      </c>
      <c r="M8" s="42" t="inlineStr">
        <is>
          <t>L</t>
        </is>
      </c>
      <c r="N8" s="36" t="inlineStr">
        <is>
          <t>P</t>
        </is>
      </c>
      <c r="O8" s="36" t="inlineStr">
        <is>
          <t>P</t>
        </is>
      </c>
      <c r="P8" s="36" t="inlineStr">
        <is>
          <t>P</t>
        </is>
      </c>
      <c r="Q8" s="37" t="inlineStr">
        <is>
          <t>WO</t>
        </is>
      </c>
      <c r="R8" s="36" t="inlineStr">
        <is>
          <t>P</t>
        </is>
      </c>
      <c r="S8" s="36" t="inlineStr">
        <is>
          <t>P</t>
        </is>
      </c>
      <c r="T8" s="36" t="inlineStr">
        <is>
          <t>P</t>
        </is>
      </c>
      <c r="U8" s="36" t="inlineStr">
        <is>
          <t>P</t>
        </is>
      </c>
      <c r="V8" s="36" t="inlineStr">
        <is>
          <t>P</t>
        </is>
      </c>
      <c r="W8" s="36" t="inlineStr">
        <is>
          <t>P</t>
        </is>
      </c>
      <c r="X8" s="37" t="inlineStr">
        <is>
          <t>WO</t>
        </is>
      </c>
      <c r="Y8" s="36" t="inlineStr">
        <is>
          <t>P</t>
        </is>
      </c>
      <c r="Z8" s="36" t="inlineStr">
        <is>
          <t>P</t>
        </is>
      </c>
      <c r="AA8" s="36" t="inlineStr">
        <is>
          <t>P</t>
        </is>
      </c>
      <c r="AB8" s="36" t="inlineStr">
        <is>
          <t>P</t>
        </is>
      </c>
      <c r="AC8" s="36" t="inlineStr">
        <is>
          <t>P</t>
        </is>
      </c>
      <c r="AD8" s="36" t="inlineStr">
        <is>
          <t>P</t>
        </is>
      </c>
      <c r="AE8" s="37" t="inlineStr">
        <is>
          <t>WO</t>
        </is>
      </c>
      <c r="AF8" s="38" t="inlineStr">
        <is>
          <t>-</t>
        </is>
      </c>
      <c r="AG8" s="39">
        <f>COUNTIF(B8:AF8, "P")</f>
        <v/>
      </c>
      <c r="AH8" s="15">
        <f>COUNTIF(B8:AF8, "CL")</f>
        <v/>
      </c>
      <c r="AI8" s="16">
        <f>COUNTIF(B8:AF8, "L")</f>
        <v/>
      </c>
      <c r="AJ8" s="17">
        <f>COUNTIF(B8:AF8, "WO")</f>
        <v/>
      </c>
      <c r="AK8" s="14">
        <f>COUNTIF(B8:AF8, "HO")</f>
        <v/>
      </c>
      <c r="AL8" s="18">
        <f>COUNTIF(B8:AF8, "CF")</f>
        <v/>
      </c>
      <c r="AM8" s="19">
        <f>AG8+AH8+AI8+AL8</f>
        <v/>
      </c>
      <c r="AN8" s="20">
        <f>IF(AM8&gt;0, AG8/AM8, 0)</f>
        <v/>
      </c>
    </row>
    <row r="9" ht="32" customHeight="1">
      <c r="A9" s="35" t="inlineStr">
        <is>
          <t>DR VARUN
Doctor</t>
        </is>
      </c>
      <c r="B9" s="36" t="inlineStr">
        <is>
          <t>P</t>
        </is>
      </c>
      <c r="C9" s="37" t="inlineStr">
        <is>
          <t>WO</t>
        </is>
      </c>
      <c r="D9" s="36" t="inlineStr">
        <is>
          <t>P</t>
        </is>
      </c>
      <c r="E9" s="36" t="inlineStr">
        <is>
          <t>P</t>
        </is>
      </c>
      <c r="F9" s="36" t="inlineStr">
        <is>
          <t>P</t>
        </is>
      </c>
      <c r="G9" s="36" t="inlineStr">
        <is>
          <t>P</t>
        </is>
      </c>
      <c r="H9" s="36" t="inlineStr">
        <is>
          <t>P</t>
        </is>
      </c>
      <c r="I9" s="36" t="inlineStr">
        <is>
          <t>P</t>
        </is>
      </c>
      <c r="J9" s="37" t="inlineStr">
        <is>
          <t>WO</t>
        </is>
      </c>
      <c r="K9" s="36" t="inlineStr">
        <is>
          <t>P</t>
        </is>
      </c>
      <c r="L9" s="36" t="inlineStr">
        <is>
          <t>P</t>
        </is>
      </c>
      <c r="M9" s="36" t="inlineStr">
        <is>
          <t>P</t>
        </is>
      </c>
      <c r="N9" s="36" t="inlineStr">
        <is>
          <t>P</t>
        </is>
      </c>
      <c r="O9" s="36" t="inlineStr">
        <is>
          <t>P</t>
        </is>
      </c>
      <c r="P9" s="36" t="inlineStr">
        <is>
          <t>P</t>
        </is>
      </c>
      <c r="Q9" s="37" t="inlineStr">
        <is>
          <t>WO</t>
        </is>
      </c>
      <c r="R9" s="41" t="inlineStr">
        <is>
          <t>CL</t>
        </is>
      </c>
      <c r="S9" s="42" t="inlineStr">
        <is>
          <t>L</t>
        </is>
      </c>
      <c r="T9" s="42" t="inlineStr">
        <is>
          <t>L</t>
        </is>
      </c>
      <c r="U9" s="42" t="inlineStr">
        <is>
          <t>L</t>
        </is>
      </c>
      <c r="V9" s="42" t="inlineStr">
        <is>
          <t>L</t>
        </is>
      </c>
      <c r="W9" s="42" t="inlineStr">
        <is>
          <t>L</t>
        </is>
      </c>
      <c r="X9" s="37" t="inlineStr">
        <is>
          <t>WO</t>
        </is>
      </c>
      <c r="Y9" s="42" t="inlineStr">
        <is>
          <t>L</t>
        </is>
      </c>
      <c r="Z9" s="42" t="inlineStr">
        <is>
          <t>L</t>
        </is>
      </c>
      <c r="AA9" s="42" t="inlineStr">
        <is>
          <t>L</t>
        </is>
      </c>
      <c r="AB9" s="42" t="inlineStr">
        <is>
          <t>L</t>
        </is>
      </c>
      <c r="AC9" s="42" t="inlineStr">
        <is>
          <t>L</t>
        </is>
      </c>
      <c r="AD9" s="42" t="inlineStr">
        <is>
          <t>L</t>
        </is>
      </c>
      <c r="AE9" s="37" t="inlineStr">
        <is>
          <t>WO</t>
        </is>
      </c>
      <c r="AF9" s="38" t="inlineStr">
        <is>
          <t>-</t>
        </is>
      </c>
      <c r="AG9" s="39">
        <f>COUNTIF(B9:AF9, "P")</f>
        <v/>
      </c>
      <c r="AH9" s="15">
        <f>COUNTIF(B9:AF9, "CL")</f>
        <v/>
      </c>
      <c r="AI9" s="16">
        <f>COUNTIF(B9:AF9, "L")</f>
        <v/>
      </c>
      <c r="AJ9" s="17">
        <f>COUNTIF(B9:AF9, "WO")</f>
        <v/>
      </c>
      <c r="AK9" s="14">
        <f>COUNTIF(B9:AF9, "HO")</f>
        <v/>
      </c>
      <c r="AL9" s="18">
        <f>COUNTIF(B9:AF9, "CF")</f>
        <v/>
      </c>
      <c r="AM9" s="19">
        <f>AG9+AH9+AI9+AL9</f>
        <v/>
      </c>
      <c r="AN9" s="20">
        <f>IF(AM9&gt;0, AG9/AM9, 0)</f>
        <v/>
      </c>
    </row>
    <row r="10" ht="32" customHeight="1">
      <c r="A10" s="40" t="inlineStr">
        <is>
          <t>NEELIMA
Employee</t>
        </is>
      </c>
      <c r="B10" s="36" t="inlineStr">
        <is>
          <t>P</t>
        </is>
      </c>
      <c r="C10" s="37" t="inlineStr">
        <is>
          <t>WO</t>
        </is>
      </c>
      <c r="D10" s="36" t="inlineStr">
        <is>
          <t>P</t>
        </is>
      </c>
      <c r="E10" s="36" t="inlineStr">
        <is>
          <t>P</t>
        </is>
      </c>
      <c r="F10" s="36" t="inlineStr">
        <is>
          <t>P</t>
        </is>
      </c>
      <c r="G10" s="36" t="inlineStr">
        <is>
          <t>P</t>
        </is>
      </c>
      <c r="H10" s="36" t="inlineStr">
        <is>
          <t>P</t>
        </is>
      </c>
      <c r="I10" s="36" t="inlineStr">
        <is>
          <t>P</t>
        </is>
      </c>
      <c r="J10" s="37" t="inlineStr">
        <is>
          <t>WO</t>
        </is>
      </c>
      <c r="K10" s="36" t="inlineStr">
        <is>
          <t>P</t>
        </is>
      </c>
      <c r="L10" s="36" t="inlineStr">
        <is>
          <t>P</t>
        </is>
      </c>
      <c r="M10" s="36" t="inlineStr">
        <is>
          <t>P</t>
        </is>
      </c>
      <c r="N10" s="36" t="inlineStr">
        <is>
          <t>P</t>
        </is>
      </c>
      <c r="O10" s="36" t="inlineStr">
        <is>
          <t>P</t>
        </is>
      </c>
      <c r="P10" s="36" t="inlineStr">
        <is>
          <t>P</t>
        </is>
      </c>
      <c r="Q10" s="36" t="inlineStr">
        <is>
          <t>P</t>
        </is>
      </c>
      <c r="R10" s="36" t="inlineStr">
        <is>
          <t>P</t>
        </is>
      </c>
      <c r="S10" s="36" t="inlineStr">
        <is>
          <t>P</t>
        </is>
      </c>
      <c r="T10" s="36" t="inlineStr">
        <is>
          <t>P</t>
        </is>
      </c>
      <c r="U10" s="36" t="inlineStr">
        <is>
          <t>P</t>
        </is>
      </c>
      <c r="V10" s="36" t="inlineStr">
        <is>
          <t>P</t>
        </is>
      </c>
      <c r="W10" s="36" t="inlineStr">
        <is>
          <t>P</t>
        </is>
      </c>
      <c r="X10" s="37" t="inlineStr">
        <is>
          <t>WO</t>
        </is>
      </c>
      <c r="Y10" s="36" t="inlineStr">
        <is>
          <t>P</t>
        </is>
      </c>
      <c r="Z10" s="36" t="inlineStr">
        <is>
          <t>P</t>
        </is>
      </c>
      <c r="AA10" s="36" t="inlineStr">
        <is>
          <t>P</t>
        </is>
      </c>
      <c r="AB10" s="36" t="inlineStr">
        <is>
          <t>P</t>
        </is>
      </c>
      <c r="AC10" s="36" t="inlineStr">
        <is>
          <t>P</t>
        </is>
      </c>
      <c r="AD10" s="36" t="inlineStr">
        <is>
          <t>P</t>
        </is>
      </c>
      <c r="AE10" s="37" t="inlineStr">
        <is>
          <t>WO</t>
        </is>
      </c>
      <c r="AF10" s="38" t="inlineStr">
        <is>
          <t>-</t>
        </is>
      </c>
      <c r="AG10" s="39">
        <f>COUNTIF(B10:AF10, "P")</f>
        <v/>
      </c>
      <c r="AH10" s="15">
        <f>COUNTIF(B10:AF10, "CL")</f>
        <v/>
      </c>
      <c r="AI10" s="16">
        <f>COUNTIF(B10:AF10, "L")</f>
        <v/>
      </c>
      <c r="AJ10" s="17">
        <f>COUNTIF(B10:AF10, "WO")</f>
        <v/>
      </c>
      <c r="AK10" s="14">
        <f>COUNTIF(B10:AF10, "HO")</f>
        <v/>
      </c>
      <c r="AL10" s="18">
        <f>COUNTIF(B10:AF10, "CF")</f>
        <v/>
      </c>
      <c r="AM10" s="19">
        <f>AG10+AH10+AI10+AL10</f>
        <v/>
      </c>
      <c r="AN10" s="20">
        <f>IF(AM10&gt;0, AG10/AM10, 0)</f>
        <v/>
      </c>
    </row>
    <row r="11" ht="32" customHeight="1">
      <c r="A11" s="35" t="inlineStr">
        <is>
          <t>RAMESH
Employee</t>
        </is>
      </c>
      <c r="B11" s="36" t="inlineStr">
        <is>
          <t>P</t>
        </is>
      </c>
      <c r="C11" s="37" t="inlineStr">
        <is>
          <t>WO</t>
        </is>
      </c>
      <c r="D11" s="36" t="inlineStr">
        <is>
          <t>P</t>
        </is>
      </c>
      <c r="E11" s="36" t="inlineStr">
        <is>
          <t>P</t>
        </is>
      </c>
      <c r="F11" s="36" t="inlineStr">
        <is>
          <t>P</t>
        </is>
      </c>
      <c r="G11" s="36" t="inlineStr">
        <is>
          <t>P</t>
        </is>
      </c>
      <c r="H11" s="36" t="inlineStr">
        <is>
          <t>P</t>
        </is>
      </c>
      <c r="I11" s="36" t="inlineStr">
        <is>
          <t>P</t>
        </is>
      </c>
      <c r="J11" s="37" t="inlineStr">
        <is>
          <t>WO</t>
        </is>
      </c>
      <c r="K11" s="36" t="inlineStr">
        <is>
          <t>P</t>
        </is>
      </c>
      <c r="L11" s="36" t="inlineStr">
        <is>
          <t>P</t>
        </is>
      </c>
      <c r="M11" s="36" t="inlineStr">
        <is>
          <t>P</t>
        </is>
      </c>
      <c r="N11" s="36" t="inlineStr">
        <is>
          <t>P</t>
        </is>
      </c>
      <c r="O11" s="36" t="inlineStr">
        <is>
          <t>P</t>
        </is>
      </c>
      <c r="P11" s="38" t="inlineStr">
        <is>
          <t>-</t>
        </is>
      </c>
      <c r="Q11" s="37" t="inlineStr">
        <is>
          <t>WO</t>
        </is>
      </c>
      <c r="R11" s="36" t="inlineStr">
        <is>
          <t>P</t>
        </is>
      </c>
      <c r="S11" s="36" t="inlineStr">
        <is>
          <t>P</t>
        </is>
      </c>
      <c r="T11" s="36" t="inlineStr">
        <is>
          <t>P</t>
        </is>
      </c>
      <c r="U11" s="36" t="inlineStr">
        <is>
          <t>P</t>
        </is>
      </c>
      <c r="V11" s="36" t="inlineStr">
        <is>
          <t>P</t>
        </is>
      </c>
      <c r="W11" s="36" t="inlineStr">
        <is>
          <t>P</t>
        </is>
      </c>
      <c r="X11" s="37" t="inlineStr">
        <is>
          <t>WO</t>
        </is>
      </c>
      <c r="Y11" s="36" t="inlineStr">
        <is>
          <t>P</t>
        </is>
      </c>
      <c r="Z11" s="36" t="inlineStr">
        <is>
          <t>P</t>
        </is>
      </c>
      <c r="AA11" s="36" t="inlineStr">
        <is>
          <t>P</t>
        </is>
      </c>
      <c r="AB11" s="36" t="inlineStr">
        <is>
          <t>P</t>
        </is>
      </c>
      <c r="AC11" s="36" t="inlineStr">
        <is>
          <t>P</t>
        </is>
      </c>
      <c r="AD11" s="36" t="inlineStr">
        <is>
          <t>P</t>
        </is>
      </c>
      <c r="AE11" s="37" t="inlineStr">
        <is>
          <t>WO</t>
        </is>
      </c>
      <c r="AF11" s="38" t="inlineStr">
        <is>
          <t>-</t>
        </is>
      </c>
      <c r="AG11" s="39">
        <f>COUNTIF(B11:AF11, "P")</f>
        <v/>
      </c>
      <c r="AH11" s="15">
        <f>COUNTIF(B11:AF11, "CL")</f>
        <v/>
      </c>
      <c r="AI11" s="16">
        <f>COUNTIF(B11:AF11, "L")</f>
        <v/>
      </c>
      <c r="AJ11" s="17">
        <f>COUNTIF(B11:AF11, "WO")</f>
        <v/>
      </c>
      <c r="AK11" s="14">
        <f>COUNTIF(B11:AF11, "HO")</f>
        <v/>
      </c>
      <c r="AL11" s="18">
        <f>COUNTIF(B11:AF11, "CF")</f>
        <v/>
      </c>
      <c r="AM11" s="19">
        <f>AG11+AH11+AI11+AL11</f>
        <v/>
      </c>
      <c r="AN11" s="20">
        <f>IF(AM11&gt;0, AG11/AM11, 0)</f>
        <v/>
      </c>
    </row>
    <row r="12" ht="32" customHeight="1">
      <c r="A12" s="40" t="inlineStr">
        <is>
          <t>SAI KUMAR
Employee</t>
        </is>
      </c>
      <c r="B12" s="36" t="inlineStr">
        <is>
          <t>P</t>
        </is>
      </c>
      <c r="C12" s="37" t="inlineStr">
        <is>
          <t>WO</t>
        </is>
      </c>
      <c r="D12" s="36" t="inlineStr">
        <is>
          <t>P</t>
        </is>
      </c>
      <c r="E12" s="36" t="inlineStr">
        <is>
          <t>P</t>
        </is>
      </c>
      <c r="F12" s="36" t="inlineStr">
        <is>
          <t>P</t>
        </is>
      </c>
      <c r="G12" s="36" t="inlineStr">
        <is>
          <t>P</t>
        </is>
      </c>
      <c r="H12" s="36" t="inlineStr">
        <is>
          <t>P</t>
        </is>
      </c>
      <c r="I12" s="36" t="inlineStr">
        <is>
          <t>P</t>
        </is>
      </c>
      <c r="J12" s="36" t="inlineStr">
        <is>
          <t>P</t>
        </is>
      </c>
      <c r="K12" s="36" t="inlineStr">
        <is>
          <t>P</t>
        </is>
      </c>
      <c r="L12" s="36" t="inlineStr">
        <is>
          <t>P</t>
        </is>
      </c>
      <c r="M12" s="36" t="inlineStr">
        <is>
          <t>P</t>
        </is>
      </c>
      <c r="N12" s="36" t="inlineStr">
        <is>
          <t>P</t>
        </is>
      </c>
      <c r="O12" s="36" t="inlineStr">
        <is>
          <t>P</t>
        </is>
      </c>
      <c r="P12" s="36" t="inlineStr">
        <is>
          <t>P</t>
        </is>
      </c>
      <c r="Q12" s="37" t="inlineStr">
        <is>
          <t>WO</t>
        </is>
      </c>
      <c r="R12" s="36" t="inlineStr">
        <is>
          <t>P</t>
        </is>
      </c>
      <c r="S12" s="36" t="inlineStr">
        <is>
          <t>P</t>
        </is>
      </c>
      <c r="T12" s="36" t="inlineStr">
        <is>
          <t>P</t>
        </is>
      </c>
      <c r="U12" s="36" t="inlineStr">
        <is>
          <t>P</t>
        </is>
      </c>
      <c r="V12" s="36" t="inlineStr">
        <is>
          <t>P</t>
        </is>
      </c>
      <c r="W12" s="36" t="inlineStr">
        <is>
          <t>P</t>
        </is>
      </c>
      <c r="X12" s="37" t="inlineStr">
        <is>
          <t>WO</t>
        </is>
      </c>
      <c r="Y12" s="36" t="inlineStr">
        <is>
          <t>P</t>
        </is>
      </c>
      <c r="Z12" s="36" t="inlineStr">
        <is>
          <t>P</t>
        </is>
      </c>
      <c r="AA12" s="36" t="inlineStr">
        <is>
          <t>P</t>
        </is>
      </c>
      <c r="AB12" s="36" t="inlineStr">
        <is>
          <t>P</t>
        </is>
      </c>
      <c r="AC12" s="41" t="inlineStr">
        <is>
          <t>CL</t>
        </is>
      </c>
      <c r="AD12" s="36" t="inlineStr">
        <is>
          <t>P</t>
        </is>
      </c>
      <c r="AE12" s="37" t="inlineStr">
        <is>
          <t>WO</t>
        </is>
      </c>
      <c r="AF12" s="38" t="inlineStr">
        <is>
          <t>-</t>
        </is>
      </c>
      <c r="AG12" s="39">
        <f>COUNTIF(B12:AF12, "P")</f>
        <v/>
      </c>
      <c r="AH12" s="15">
        <f>COUNTIF(B12:AF12, "CL")</f>
        <v/>
      </c>
      <c r="AI12" s="16">
        <f>COUNTIF(B12:AF12, "L")</f>
        <v/>
      </c>
      <c r="AJ12" s="17">
        <f>COUNTIF(B12:AF12, "WO")</f>
        <v/>
      </c>
      <c r="AK12" s="14">
        <f>COUNTIF(B12:AF12, "HO")</f>
        <v/>
      </c>
      <c r="AL12" s="18">
        <f>COUNTIF(B12:AF12, "CF")</f>
        <v/>
      </c>
      <c r="AM12" s="19">
        <f>AG12+AH12+AI12+AL12</f>
        <v/>
      </c>
      <c r="AN12" s="20">
        <f>IF(AM12&gt;0, AG12/AM12, 0)</f>
        <v/>
      </c>
    </row>
    <row r="13" ht="32" customHeight="1">
      <c r="A13" s="35" t="inlineStr">
        <is>
          <t>CHANIKYA
Employee</t>
        </is>
      </c>
      <c r="B13" s="36" t="inlineStr">
        <is>
          <t>P</t>
        </is>
      </c>
      <c r="C13" s="37" t="inlineStr">
        <is>
          <t>WO</t>
        </is>
      </c>
      <c r="D13" s="36" t="inlineStr">
        <is>
          <t>P</t>
        </is>
      </c>
      <c r="E13" s="41" t="inlineStr">
        <is>
          <t>CL</t>
        </is>
      </c>
      <c r="F13" s="36" t="inlineStr">
        <is>
          <t>P</t>
        </is>
      </c>
      <c r="G13" s="36" t="inlineStr">
        <is>
          <t>P</t>
        </is>
      </c>
      <c r="H13" s="36" t="inlineStr">
        <is>
          <t>P</t>
        </is>
      </c>
      <c r="I13" s="36" t="inlineStr">
        <is>
          <t>P</t>
        </is>
      </c>
      <c r="J13" s="37" t="inlineStr">
        <is>
          <t>WO</t>
        </is>
      </c>
      <c r="K13" s="36" t="inlineStr">
        <is>
          <t>P</t>
        </is>
      </c>
      <c r="L13" s="36" t="inlineStr">
        <is>
          <t>P</t>
        </is>
      </c>
      <c r="M13" s="36" t="inlineStr">
        <is>
          <t>P</t>
        </is>
      </c>
      <c r="N13" s="36" t="inlineStr">
        <is>
          <t>P</t>
        </is>
      </c>
      <c r="O13" s="36" t="inlineStr">
        <is>
          <t>P</t>
        </is>
      </c>
      <c r="P13" s="38" t="inlineStr">
        <is>
          <t>-</t>
        </is>
      </c>
      <c r="Q13" s="37" t="inlineStr">
        <is>
          <t>WO</t>
        </is>
      </c>
      <c r="R13" s="36" t="inlineStr">
        <is>
          <t>P</t>
        </is>
      </c>
      <c r="S13" s="36" t="inlineStr">
        <is>
          <t>P</t>
        </is>
      </c>
      <c r="T13" s="36" t="inlineStr">
        <is>
          <t>P</t>
        </is>
      </c>
      <c r="U13" s="36" t="inlineStr">
        <is>
          <t>P</t>
        </is>
      </c>
      <c r="V13" s="36" t="inlineStr">
        <is>
          <t>P</t>
        </is>
      </c>
      <c r="W13" s="36" t="inlineStr">
        <is>
          <t>P</t>
        </is>
      </c>
      <c r="X13" s="36" t="inlineStr">
        <is>
          <t>P</t>
        </is>
      </c>
      <c r="Y13" s="36" t="inlineStr">
        <is>
          <t>P</t>
        </is>
      </c>
      <c r="Z13" s="36" t="inlineStr">
        <is>
          <t>P</t>
        </is>
      </c>
      <c r="AA13" s="36" t="inlineStr">
        <is>
          <t>P</t>
        </is>
      </c>
      <c r="AB13" s="36" t="inlineStr">
        <is>
          <t>P</t>
        </is>
      </c>
      <c r="AC13" s="36" t="inlineStr">
        <is>
          <t>P</t>
        </is>
      </c>
      <c r="AD13" s="36" t="inlineStr">
        <is>
          <t>P</t>
        </is>
      </c>
      <c r="AE13" s="37" t="inlineStr">
        <is>
          <t>WO</t>
        </is>
      </c>
      <c r="AF13" s="38" t="inlineStr">
        <is>
          <t>-</t>
        </is>
      </c>
      <c r="AG13" s="39">
        <f>COUNTIF(B13:AF13, "P")</f>
        <v/>
      </c>
      <c r="AH13" s="15">
        <f>COUNTIF(B13:AF13, "CL")</f>
        <v/>
      </c>
      <c r="AI13" s="16">
        <f>COUNTIF(B13:AF13, "L")</f>
        <v/>
      </c>
      <c r="AJ13" s="17">
        <f>COUNTIF(B13:AF13, "WO")</f>
        <v/>
      </c>
      <c r="AK13" s="14">
        <f>COUNTIF(B13:AF13, "HO")</f>
        <v/>
      </c>
      <c r="AL13" s="18">
        <f>COUNTIF(B13:AF13, "CF")</f>
        <v/>
      </c>
      <c r="AM13" s="19">
        <f>AG13+AH13+AI13+AL13</f>
        <v/>
      </c>
      <c r="AN13" s="20">
        <f>IF(AM13&gt;0, AG13/AM13, 0)</f>
        <v/>
      </c>
    </row>
    <row r="14" ht="32" customHeight="1">
      <c r="A14" s="40" t="inlineStr">
        <is>
          <t>LAXMINARAYANA
Employee</t>
        </is>
      </c>
      <c r="B14" s="36" t="inlineStr">
        <is>
          <t>P</t>
        </is>
      </c>
      <c r="C14" s="37" t="inlineStr">
        <is>
          <t>WO</t>
        </is>
      </c>
      <c r="D14" s="36" t="inlineStr">
        <is>
          <t>P</t>
        </is>
      </c>
      <c r="E14" s="36" t="inlineStr">
        <is>
          <t>P</t>
        </is>
      </c>
      <c r="F14" s="36" t="inlineStr">
        <is>
          <t>P</t>
        </is>
      </c>
      <c r="G14" s="36" t="inlineStr">
        <is>
          <t>P</t>
        </is>
      </c>
      <c r="H14" s="36" t="inlineStr">
        <is>
          <t>P</t>
        </is>
      </c>
      <c r="I14" s="36" t="inlineStr">
        <is>
          <t>P</t>
        </is>
      </c>
      <c r="J14" s="37" t="inlineStr">
        <is>
          <t>WO</t>
        </is>
      </c>
      <c r="K14" s="36" t="inlineStr">
        <is>
          <t>P</t>
        </is>
      </c>
      <c r="L14" s="36" t="inlineStr">
        <is>
          <t>P</t>
        </is>
      </c>
      <c r="M14" s="36" t="inlineStr">
        <is>
          <t>P</t>
        </is>
      </c>
      <c r="N14" s="36" t="inlineStr">
        <is>
          <t>P</t>
        </is>
      </c>
      <c r="O14" s="36" t="inlineStr">
        <is>
          <t>P</t>
        </is>
      </c>
      <c r="P14" s="38" t="inlineStr">
        <is>
          <t>-</t>
        </is>
      </c>
      <c r="Q14" s="37" t="inlineStr">
        <is>
          <t>WO</t>
        </is>
      </c>
      <c r="R14" s="36" t="inlineStr">
        <is>
          <t>P</t>
        </is>
      </c>
      <c r="S14" s="36" t="inlineStr">
        <is>
          <t>P</t>
        </is>
      </c>
      <c r="T14" s="36" t="inlineStr">
        <is>
          <t>P</t>
        </is>
      </c>
      <c r="U14" s="36" t="inlineStr">
        <is>
          <t>P</t>
        </is>
      </c>
      <c r="V14" s="36" t="inlineStr">
        <is>
          <t>P</t>
        </is>
      </c>
      <c r="W14" s="41" t="inlineStr">
        <is>
          <t>CL</t>
        </is>
      </c>
      <c r="X14" s="37" t="inlineStr">
        <is>
          <t>WO</t>
        </is>
      </c>
      <c r="Y14" s="36" t="inlineStr">
        <is>
          <t>P</t>
        </is>
      </c>
      <c r="Z14" s="36" t="inlineStr">
        <is>
          <t>P</t>
        </is>
      </c>
      <c r="AA14" s="36" t="inlineStr">
        <is>
          <t>P</t>
        </is>
      </c>
      <c r="AB14" s="36" t="inlineStr">
        <is>
          <t>P</t>
        </is>
      </c>
      <c r="AC14" s="36" t="inlineStr">
        <is>
          <t>P</t>
        </is>
      </c>
      <c r="AD14" s="36" t="inlineStr">
        <is>
          <t>P</t>
        </is>
      </c>
      <c r="AE14" s="37" t="inlineStr">
        <is>
          <t>WO</t>
        </is>
      </c>
      <c r="AF14" s="38" t="inlineStr">
        <is>
          <t>-</t>
        </is>
      </c>
      <c r="AG14" s="39">
        <f>COUNTIF(B14:AF14, "P")</f>
        <v/>
      </c>
      <c r="AH14" s="15">
        <f>COUNTIF(B14:AF14, "CL")</f>
        <v/>
      </c>
      <c r="AI14" s="16">
        <f>COUNTIF(B14:AF14, "L")</f>
        <v/>
      </c>
      <c r="AJ14" s="17">
        <f>COUNTIF(B14:AF14, "WO")</f>
        <v/>
      </c>
      <c r="AK14" s="14">
        <f>COUNTIF(B14:AF14, "HO")</f>
        <v/>
      </c>
      <c r="AL14" s="18">
        <f>COUNTIF(B14:AF14, "CF")</f>
        <v/>
      </c>
      <c r="AM14" s="19">
        <f>AG14+AH14+AI14+AL14</f>
        <v/>
      </c>
      <c r="AN14" s="20">
        <f>IF(AM14&gt;0, AG14/AM14, 0)</f>
        <v/>
      </c>
    </row>
    <row r="15" ht="32" customHeight="1">
      <c r="A15" s="35" t="inlineStr">
        <is>
          <t>VANI
Employee</t>
        </is>
      </c>
      <c r="B15" s="36" t="inlineStr">
        <is>
          <t>P</t>
        </is>
      </c>
      <c r="C15" s="37" t="inlineStr">
        <is>
          <t>WO</t>
        </is>
      </c>
      <c r="D15" s="36" t="inlineStr">
        <is>
          <t>P</t>
        </is>
      </c>
      <c r="E15" s="36" t="inlineStr">
        <is>
          <t>P</t>
        </is>
      </c>
      <c r="F15" s="36" t="inlineStr">
        <is>
          <t>P</t>
        </is>
      </c>
      <c r="G15" s="41" t="inlineStr">
        <is>
          <t>CL</t>
        </is>
      </c>
      <c r="H15" s="36" t="inlineStr">
        <is>
          <t>P</t>
        </is>
      </c>
      <c r="I15" s="36" t="inlineStr">
        <is>
          <t>P</t>
        </is>
      </c>
      <c r="J15" s="37" t="inlineStr">
        <is>
          <t>WO</t>
        </is>
      </c>
      <c r="K15" s="36" t="inlineStr">
        <is>
          <t>P</t>
        </is>
      </c>
      <c r="L15" s="36" t="inlineStr">
        <is>
          <t>P</t>
        </is>
      </c>
      <c r="M15" s="36" t="inlineStr">
        <is>
          <t>P</t>
        </is>
      </c>
      <c r="N15" s="36" t="inlineStr">
        <is>
          <t>P</t>
        </is>
      </c>
      <c r="O15" s="36" t="inlineStr">
        <is>
          <t>P</t>
        </is>
      </c>
      <c r="P15" s="38" t="inlineStr">
        <is>
          <t>-</t>
        </is>
      </c>
      <c r="Q15" s="37" t="inlineStr">
        <is>
          <t>WO</t>
        </is>
      </c>
      <c r="R15" s="36" t="inlineStr">
        <is>
          <t>P</t>
        </is>
      </c>
      <c r="S15" s="36" t="inlineStr">
        <is>
          <t>P</t>
        </is>
      </c>
      <c r="T15" s="36" t="inlineStr">
        <is>
          <t>P</t>
        </is>
      </c>
      <c r="U15" s="36" t="inlineStr">
        <is>
          <t>P</t>
        </is>
      </c>
      <c r="V15" s="36" t="inlineStr">
        <is>
          <t>P</t>
        </is>
      </c>
      <c r="W15" s="36" t="inlineStr">
        <is>
          <t>P</t>
        </is>
      </c>
      <c r="X15" s="37" t="inlineStr">
        <is>
          <t>WO</t>
        </is>
      </c>
      <c r="Y15" s="36" t="inlineStr">
        <is>
          <t>P</t>
        </is>
      </c>
      <c r="Z15" s="36" t="inlineStr">
        <is>
          <t>P</t>
        </is>
      </c>
      <c r="AA15" s="36" t="inlineStr">
        <is>
          <t>P</t>
        </is>
      </c>
      <c r="AB15" s="36" t="inlineStr">
        <is>
          <t>P</t>
        </is>
      </c>
      <c r="AC15" s="36" t="inlineStr">
        <is>
          <t>P</t>
        </is>
      </c>
      <c r="AD15" s="36" t="inlineStr">
        <is>
          <t>P</t>
        </is>
      </c>
      <c r="AE15" s="37" t="inlineStr">
        <is>
          <t>WO</t>
        </is>
      </c>
      <c r="AF15" s="38" t="inlineStr">
        <is>
          <t>-</t>
        </is>
      </c>
      <c r="AG15" s="39">
        <f>COUNTIF(B15:AF15, "P")</f>
        <v/>
      </c>
      <c r="AH15" s="15">
        <f>COUNTIF(B15:AF15, "CL")</f>
        <v/>
      </c>
      <c r="AI15" s="16">
        <f>COUNTIF(B15:AF15, "L")</f>
        <v/>
      </c>
      <c r="AJ15" s="17">
        <f>COUNTIF(B15:AF15, "WO")</f>
        <v/>
      </c>
      <c r="AK15" s="14">
        <f>COUNTIF(B15:AF15, "HO")</f>
        <v/>
      </c>
      <c r="AL15" s="18">
        <f>COUNTIF(B15:AF15, "CF")</f>
        <v/>
      </c>
      <c r="AM15" s="19">
        <f>AG15+AH15+AI15+AL15</f>
        <v/>
      </c>
      <c r="AN15" s="20">
        <f>IF(AM15&gt;0, AG15/AM15, 0)</f>
        <v/>
      </c>
    </row>
    <row r="16" ht="32" customHeight="1">
      <c r="A16" s="40" t="inlineStr">
        <is>
          <t>Ch Praveen Kumar
Employee</t>
        </is>
      </c>
      <c r="B16" s="36" t="inlineStr">
        <is>
          <t>P</t>
        </is>
      </c>
      <c r="C16" s="36" t="inlineStr">
        <is>
          <t>P</t>
        </is>
      </c>
      <c r="D16" s="36" t="inlineStr">
        <is>
          <t>P</t>
        </is>
      </c>
      <c r="E16" s="36" t="inlineStr">
        <is>
          <t>P</t>
        </is>
      </c>
      <c r="F16" s="36" t="inlineStr">
        <is>
          <t>P</t>
        </is>
      </c>
      <c r="G16" s="36" t="inlineStr">
        <is>
          <t>P</t>
        </is>
      </c>
      <c r="H16" s="41" t="inlineStr">
        <is>
          <t>CL</t>
        </is>
      </c>
      <c r="I16" s="43" t="inlineStr">
        <is>
          <t>CF</t>
        </is>
      </c>
      <c r="J16" s="37" t="inlineStr">
        <is>
          <t>WO</t>
        </is>
      </c>
      <c r="K16" s="36" t="inlineStr">
        <is>
          <t>P</t>
        </is>
      </c>
      <c r="L16" s="36" t="inlineStr">
        <is>
          <t>P</t>
        </is>
      </c>
      <c r="M16" s="36" t="inlineStr">
        <is>
          <t>P</t>
        </is>
      </c>
      <c r="N16" s="36" t="inlineStr">
        <is>
          <t>P</t>
        </is>
      </c>
      <c r="O16" s="36" t="inlineStr">
        <is>
          <t>P</t>
        </is>
      </c>
      <c r="P16" s="36" t="inlineStr">
        <is>
          <t>P</t>
        </is>
      </c>
      <c r="Q16" s="37" t="inlineStr">
        <is>
          <t>WO</t>
        </is>
      </c>
      <c r="R16" s="36" t="inlineStr">
        <is>
          <t>P</t>
        </is>
      </c>
      <c r="S16" s="36" t="inlineStr">
        <is>
          <t>P</t>
        </is>
      </c>
      <c r="T16" s="36" t="inlineStr">
        <is>
          <t>P</t>
        </is>
      </c>
      <c r="U16" s="36" t="inlineStr">
        <is>
          <t>P</t>
        </is>
      </c>
      <c r="V16" s="36" t="inlineStr">
        <is>
          <t>P</t>
        </is>
      </c>
      <c r="W16" s="36" t="inlineStr">
        <is>
          <t>P</t>
        </is>
      </c>
      <c r="X16" s="37" t="inlineStr">
        <is>
          <t>WO</t>
        </is>
      </c>
      <c r="Y16" s="36" t="inlineStr">
        <is>
          <t>P</t>
        </is>
      </c>
      <c r="Z16" s="36" t="inlineStr">
        <is>
          <t>P</t>
        </is>
      </c>
      <c r="AA16" s="36" t="inlineStr">
        <is>
          <t>P</t>
        </is>
      </c>
      <c r="AB16" s="36" t="inlineStr">
        <is>
          <t>P</t>
        </is>
      </c>
      <c r="AC16" s="36" t="inlineStr">
        <is>
          <t>P</t>
        </is>
      </c>
      <c r="AD16" s="36" t="inlineStr">
        <is>
          <t>P</t>
        </is>
      </c>
      <c r="AE16" s="37" t="inlineStr">
        <is>
          <t>WO</t>
        </is>
      </c>
      <c r="AF16" s="38" t="inlineStr">
        <is>
          <t>-</t>
        </is>
      </c>
      <c r="AG16" s="39">
        <f>COUNTIF(B16:AF16, "P")</f>
        <v/>
      </c>
      <c r="AH16" s="15">
        <f>COUNTIF(B16:AF16, "CL")</f>
        <v/>
      </c>
      <c r="AI16" s="16">
        <f>COUNTIF(B16:AF16, "L")</f>
        <v/>
      </c>
      <c r="AJ16" s="17">
        <f>COUNTIF(B16:AF16, "WO")</f>
        <v/>
      </c>
      <c r="AK16" s="14">
        <f>COUNTIF(B16:AF16, "HO")</f>
        <v/>
      </c>
      <c r="AL16" s="18">
        <f>COUNTIF(B16:AF16, "CF")</f>
        <v/>
      </c>
      <c r="AM16" s="19">
        <f>AG16+AH16+AI16+AL16</f>
        <v/>
      </c>
      <c r="AN16" s="20">
        <f>IF(AM16&gt;0, AG16/AM16, 0)</f>
        <v/>
      </c>
    </row>
    <row r="17" ht="32" customHeight="1">
      <c r="A17" s="35" t="inlineStr">
        <is>
          <t>KAVITHA
Employee</t>
        </is>
      </c>
      <c r="B17" s="36" t="inlineStr">
        <is>
          <t>P</t>
        </is>
      </c>
      <c r="C17" s="37" t="inlineStr">
        <is>
          <t>WO</t>
        </is>
      </c>
      <c r="D17" s="36" t="inlineStr">
        <is>
          <t>P</t>
        </is>
      </c>
      <c r="E17" s="36" t="inlineStr">
        <is>
          <t>P</t>
        </is>
      </c>
      <c r="F17" s="36" t="inlineStr">
        <is>
          <t>P</t>
        </is>
      </c>
      <c r="G17" s="36" t="inlineStr">
        <is>
          <t>P</t>
        </is>
      </c>
      <c r="H17" s="36" t="inlineStr">
        <is>
          <t>P</t>
        </is>
      </c>
      <c r="I17" s="36" t="inlineStr">
        <is>
          <t>P</t>
        </is>
      </c>
      <c r="J17" s="37" t="inlineStr">
        <is>
          <t>WO</t>
        </is>
      </c>
      <c r="K17" s="36" t="inlineStr">
        <is>
          <t>P</t>
        </is>
      </c>
      <c r="L17" s="36" t="inlineStr">
        <is>
          <t>P</t>
        </is>
      </c>
      <c r="M17" s="36" t="inlineStr">
        <is>
          <t>P</t>
        </is>
      </c>
      <c r="N17" s="41" t="inlineStr">
        <is>
          <t>CL</t>
        </is>
      </c>
      <c r="O17" s="36" t="inlineStr">
        <is>
          <t>P</t>
        </is>
      </c>
      <c r="P17" s="36" t="inlineStr">
        <is>
          <t>P</t>
        </is>
      </c>
      <c r="Q17" s="37" t="inlineStr">
        <is>
          <t>WO</t>
        </is>
      </c>
      <c r="R17" s="36" t="inlineStr">
        <is>
          <t>P</t>
        </is>
      </c>
      <c r="S17" s="36" t="inlineStr">
        <is>
          <t>P</t>
        </is>
      </c>
      <c r="T17" s="36" t="inlineStr">
        <is>
          <t>P</t>
        </is>
      </c>
      <c r="U17" s="36" t="inlineStr">
        <is>
          <t>P</t>
        </is>
      </c>
      <c r="V17" s="36" t="inlineStr">
        <is>
          <t>P</t>
        </is>
      </c>
      <c r="W17" s="36" t="inlineStr">
        <is>
          <t>P</t>
        </is>
      </c>
      <c r="X17" s="37" t="inlineStr">
        <is>
          <t>WO</t>
        </is>
      </c>
      <c r="Y17" s="36" t="inlineStr">
        <is>
          <t>P</t>
        </is>
      </c>
      <c r="Z17" s="36" t="inlineStr">
        <is>
          <t>P</t>
        </is>
      </c>
      <c r="AA17" s="36" t="inlineStr">
        <is>
          <t>P</t>
        </is>
      </c>
      <c r="AB17" s="36" t="inlineStr">
        <is>
          <t>P</t>
        </is>
      </c>
      <c r="AC17" s="43" t="inlineStr">
        <is>
          <t>CF</t>
        </is>
      </c>
      <c r="AD17" s="36" t="inlineStr">
        <is>
          <t>P</t>
        </is>
      </c>
      <c r="AE17" s="37" t="inlineStr">
        <is>
          <t>WO</t>
        </is>
      </c>
      <c r="AF17" s="38" t="inlineStr">
        <is>
          <t>-</t>
        </is>
      </c>
      <c r="AG17" s="39">
        <f>COUNTIF(B17:AF17, "P")</f>
        <v/>
      </c>
      <c r="AH17" s="15">
        <f>COUNTIF(B17:AF17, "CL")</f>
        <v/>
      </c>
      <c r="AI17" s="16">
        <f>COUNTIF(B17:AF17, "L")</f>
        <v/>
      </c>
      <c r="AJ17" s="17">
        <f>COUNTIF(B17:AF17, "WO")</f>
        <v/>
      </c>
      <c r="AK17" s="14">
        <f>COUNTIF(B17:AF17, "HO")</f>
        <v/>
      </c>
      <c r="AL17" s="18">
        <f>COUNTIF(B17:AF17, "CF")</f>
        <v/>
      </c>
      <c r="AM17" s="19">
        <f>AG17+AH17+AI17+AL17</f>
        <v/>
      </c>
      <c r="AN17" s="20">
        <f>IF(AM17&gt;0, AG17/AM17, 0)</f>
        <v/>
      </c>
    </row>
    <row r="18" ht="32" customHeight="1">
      <c r="A18" s="40" t="inlineStr">
        <is>
          <t>VAIDEHI
Employee</t>
        </is>
      </c>
      <c r="B18" s="36" t="inlineStr">
        <is>
          <t>P</t>
        </is>
      </c>
      <c r="C18" s="37" t="inlineStr">
        <is>
          <t>WO</t>
        </is>
      </c>
      <c r="D18" s="36" t="inlineStr">
        <is>
          <t>P</t>
        </is>
      </c>
      <c r="E18" s="36" t="inlineStr">
        <is>
          <t>P</t>
        </is>
      </c>
      <c r="F18" s="36" t="inlineStr">
        <is>
          <t>P</t>
        </is>
      </c>
      <c r="G18" s="36" t="inlineStr">
        <is>
          <t>P</t>
        </is>
      </c>
      <c r="H18" s="36" t="inlineStr">
        <is>
          <t>P</t>
        </is>
      </c>
      <c r="I18" s="41" t="inlineStr">
        <is>
          <t>CL</t>
        </is>
      </c>
      <c r="J18" s="37" t="inlineStr">
        <is>
          <t>WO</t>
        </is>
      </c>
      <c r="K18" s="42" t="inlineStr">
        <is>
          <t>L</t>
        </is>
      </c>
      <c r="L18" s="36" t="inlineStr">
        <is>
          <t>P</t>
        </is>
      </c>
      <c r="M18" s="36" t="inlineStr">
        <is>
          <t>P</t>
        </is>
      </c>
      <c r="N18" s="36" t="inlineStr">
        <is>
          <t>P</t>
        </is>
      </c>
      <c r="O18" s="36" t="inlineStr">
        <is>
          <t>P</t>
        </is>
      </c>
      <c r="P18" s="38" t="inlineStr">
        <is>
          <t>-</t>
        </is>
      </c>
      <c r="Q18" s="37" t="inlineStr">
        <is>
          <t>WO</t>
        </is>
      </c>
      <c r="R18" s="36" t="inlineStr">
        <is>
          <t>P</t>
        </is>
      </c>
      <c r="S18" s="36" t="inlineStr">
        <is>
          <t>P</t>
        </is>
      </c>
      <c r="T18" s="36" t="inlineStr">
        <is>
          <t>P</t>
        </is>
      </c>
      <c r="U18" s="36" t="inlineStr">
        <is>
          <t>P</t>
        </is>
      </c>
      <c r="V18" s="36" t="inlineStr">
        <is>
          <t>P</t>
        </is>
      </c>
      <c r="W18" s="36" t="inlineStr">
        <is>
          <t>P</t>
        </is>
      </c>
      <c r="X18" s="37" t="inlineStr">
        <is>
          <t>WO</t>
        </is>
      </c>
      <c r="Y18" s="36" t="inlineStr">
        <is>
          <t>P</t>
        </is>
      </c>
      <c r="Z18" s="36" t="inlineStr">
        <is>
          <t>P</t>
        </is>
      </c>
      <c r="AA18" s="36" t="inlineStr">
        <is>
          <t>P</t>
        </is>
      </c>
      <c r="AB18" s="36" t="inlineStr">
        <is>
          <t>P</t>
        </is>
      </c>
      <c r="AC18" s="36" t="inlineStr">
        <is>
          <t>P</t>
        </is>
      </c>
      <c r="AD18" s="36" t="inlineStr">
        <is>
          <t>P</t>
        </is>
      </c>
      <c r="AE18" s="37" t="inlineStr">
        <is>
          <t>WO</t>
        </is>
      </c>
      <c r="AF18" s="38" t="inlineStr">
        <is>
          <t>-</t>
        </is>
      </c>
      <c r="AG18" s="39">
        <f>COUNTIF(B18:AF18, "P")</f>
        <v/>
      </c>
      <c r="AH18" s="15">
        <f>COUNTIF(B18:AF18, "CL")</f>
        <v/>
      </c>
      <c r="AI18" s="16">
        <f>COUNTIF(B18:AF18, "L")</f>
        <v/>
      </c>
      <c r="AJ18" s="17">
        <f>COUNTIF(B18:AF18, "WO")</f>
        <v/>
      </c>
      <c r="AK18" s="14">
        <f>COUNTIF(B18:AF18, "HO")</f>
        <v/>
      </c>
      <c r="AL18" s="18">
        <f>COUNTIF(B18:AF18, "CF")</f>
        <v/>
      </c>
      <c r="AM18" s="19">
        <f>AG18+AH18+AI18+AL18</f>
        <v/>
      </c>
      <c r="AN18" s="20">
        <f>IF(AM18&gt;0, AG18/AM18, 0)</f>
        <v/>
      </c>
    </row>
    <row r="19" ht="32" customHeight="1">
      <c r="A19" s="35" t="inlineStr">
        <is>
          <t>VAISHNAVI
Employee</t>
        </is>
      </c>
      <c r="B19" s="36" t="inlineStr">
        <is>
          <t>P</t>
        </is>
      </c>
      <c r="C19" s="37" t="inlineStr">
        <is>
          <t>WO</t>
        </is>
      </c>
      <c r="D19" s="41" t="inlineStr">
        <is>
          <t>CL</t>
        </is>
      </c>
      <c r="E19" s="36" t="inlineStr">
        <is>
          <t>P</t>
        </is>
      </c>
      <c r="F19" s="36" t="inlineStr">
        <is>
          <t>P</t>
        </is>
      </c>
      <c r="G19" s="36" t="inlineStr">
        <is>
          <t>P</t>
        </is>
      </c>
      <c r="H19" s="36" t="inlineStr">
        <is>
          <t>P</t>
        </is>
      </c>
      <c r="I19" s="36" t="inlineStr">
        <is>
          <t>P</t>
        </is>
      </c>
      <c r="J19" s="37" t="inlineStr">
        <is>
          <t>WO</t>
        </is>
      </c>
      <c r="K19" s="36" t="inlineStr">
        <is>
          <t>P</t>
        </is>
      </c>
      <c r="L19" s="36" t="inlineStr">
        <is>
          <t>P</t>
        </is>
      </c>
      <c r="M19" s="36" t="inlineStr">
        <is>
          <t>P</t>
        </is>
      </c>
      <c r="N19" s="36" t="inlineStr">
        <is>
          <t>P</t>
        </is>
      </c>
      <c r="O19" s="36" t="inlineStr">
        <is>
          <t>P</t>
        </is>
      </c>
      <c r="P19" s="38" t="inlineStr">
        <is>
          <t>-</t>
        </is>
      </c>
      <c r="Q19" s="37" t="inlineStr">
        <is>
          <t>WO</t>
        </is>
      </c>
      <c r="R19" s="36" t="inlineStr">
        <is>
          <t>P</t>
        </is>
      </c>
      <c r="S19" s="36" t="inlineStr">
        <is>
          <t>P</t>
        </is>
      </c>
      <c r="T19" s="36" t="inlineStr">
        <is>
          <t>P</t>
        </is>
      </c>
      <c r="U19" s="42" t="inlineStr">
        <is>
          <t>L</t>
        </is>
      </c>
      <c r="V19" s="36" t="inlineStr">
        <is>
          <t>P</t>
        </is>
      </c>
      <c r="W19" s="36" t="inlineStr">
        <is>
          <t>P</t>
        </is>
      </c>
      <c r="X19" s="37" t="inlineStr">
        <is>
          <t>WO</t>
        </is>
      </c>
      <c r="Y19" s="36" t="inlineStr">
        <is>
          <t>P</t>
        </is>
      </c>
      <c r="Z19" s="36" t="inlineStr">
        <is>
          <t>P</t>
        </is>
      </c>
      <c r="AA19" s="36" t="inlineStr">
        <is>
          <t>P</t>
        </is>
      </c>
      <c r="AB19" s="36" t="inlineStr">
        <is>
          <t>P</t>
        </is>
      </c>
      <c r="AC19" s="36" t="inlineStr">
        <is>
          <t>P</t>
        </is>
      </c>
      <c r="AD19" s="36" t="inlineStr">
        <is>
          <t>P</t>
        </is>
      </c>
      <c r="AE19" s="37" t="inlineStr">
        <is>
          <t>WO</t>
        </is>
      </c>
      <c r="AF19" s="38" t="inlineStr">
        <is>
          <t>-</t>
        </is>
      </c>
      <c r="AG19" s="39">
        <f>COUNTIF(B19:AF19, "P")</f>
        <v/>
      </c>
      <c r="AH19" s="15">
        <f>COUNTIF(B19:AF19, "CL")</f>
        <v/>
      </c>
      <c r="AI19" s="16">
        <f>COUNTIF(B19:AF19, "L")</f>
        <v/>
      </c>
      <c r="AJ19" s="17">
        <f>COUNTIF(B19:AF19, "WO")</f>
        <v/>
      </c>
      <c r="AK19" s="14">
        <f>COUNTIF(B19:AF19, "HO")</f>
        <v/>
      </c>
      <c r="AL19" s="18">
        <f>COUNTIF(B19:AF19, "CF")</f>
        <v/>
      </c>
      <c r="AM19" s="19">
        <f>AG19+AH19+AI19+AL19</f>
        <v/>
      </c>
      <c r="AN19" s="20">
        <f>IF(AM19&gt;0, AG19/AM19, 0)</f>
        <v/>
      </c>
    </row>
    <row r="20" ht="32" customHeight="1">
      <c r="A20" s="40" t="inlineStr">
        <is>
          <t>SIRISHA
Employee</t>
        </is>
      </c>
      <c r="B20" s="36" t="inlineStr">
        <is>
          <t>P</t>
        </is>
      </c>
      <c r="C20" s="37" t="inlineStr">
        <is>
          <t>WO</t>
        </is>
      </c>
      <c r="D20" s="36" t="inlineStr">
        <is>
          <t>P</t>
        </is>
      </c>
      <c r="E20" s="36" t="inlineStr">
        <is>
          <t>P</t>
        </is>
      </c>
      <c r="F20" s="36" t="inlineStr">
        <is>
          <t>P</t>
        </is>
      </c>
      <c r="G20" s="36" t="inlineStr">
        <is>
          <t>P</t>
        </is>
      </c>
      <c r="H20" s="36" t="inlineStr">
        <is>
          <t>P</t>
        </is>
      </c>
      <c r="I20" s="36" t="inlineStr">
        <is>
          <t>P</t>
        </is>
      </c>
      <c r="J20" s="37" t="inlineStr">
        <is>
          <t>WO</t>
        </is>
      </c>
      <c r="K20" s="36" t="inlineStr">
        <is>
          <t>P</t>
        </is>
      </c>
      <c r="L20" s="36" t="inlineStr">
        <is>
          <t>P</t>
        </is>
      </c>
      <c r="M20" s="36" t="inlineStr">
        <is>
          <t>P</t>
        </is>
      </c>
      <c r="N20" s="36" t="inlineStr">
        <is>
          <t>P</t>
        </is>
      </c>
      <c r="O20" s="36" t="inlineStr">
        <is>
          <t>P</t>
        </is>
      </c>
      <c r="P20" s="36" t="inlineStr">
        <is>
          <t>P</t>
        </is>
      </c>
      <c r="Q20" s="37" t="inlineStr">
        <is>
          <t>WO</t>
        </is>
      </c>
      <c r="R20" s="36" t="inlineStr">
        <is>
          <t>P</t>
        </is>
      </c>
      <c r="S20" s="36" t="inlineStr">
        <is>
          <t>P</t>
        </is>
      </c>
      <c r="T20" s="36" t="inlineStr">
        <is>
          <t>P</t>
        </is>
      </c>
      <c r="U20" s="36" t="inlineStr">
        <is>
          <t>P</t>
        </is>
      </c>
      <c r="V20" s="41" t="inlineStr">
        <is>
          <t>CL</t>
        </is>
      </c>
      <c r="W20" s="43" t="inlineStr">
        <is>
          <t>CF</t>
        </is>
      </c>
      <c r="X20" s="37" t="inlineStr">
        <is>
          <t>WO</t>
        </is>
      </c>
      <c r="Y20" s="36" t="inlineStr">
        <is>
          <t>P</t>
        </is>
      </c>
      <c r="Z20" s="36" t="inlineStr">
        <is>
          <t>P</t>
        </is>
      </c>
      <c r="AA20" s="36" t="inlineStr">
        <is>
          <t>P</t>
        </is>
      </c>
      <c r="AB20" s="36" t="inlineStr">
        <is>
          <t>P</t>
        </is>
      </c>
      <c r="AC20" s="43" t="inlineStr">
        <is>
          <t>CF</t>
        </is>
      </c>
      <c r="AD20" s="36" t="inlineStr">
        <is>
          <t>P</t>
        </is>
      </c>
      <c r="AE20" s="37" t="inlineStr">
        <is>
          <t>WO</t>
        </is>
      </c>
      <c r="AF20" s="38" t="inlineStr">
        <is>
          <t>-</t>
        </is>
      </c>
      <c r="AG20" s="39">
        <f>COUNTIF(B20:AF20, "P")</f>
        <v/>
      </c>
      <c r="AH20" s="15">
        <f>COUNTIF(B20:AF20, "CL")</f>
        <v/>
      </c>
      <c r="AI20" s="16">
        <f>COUNTIF(B20:AF20, "L")</f>
        <v/>
      </c>
      <c r="AJ20" s="17">
        <f>COUNTIF(B20:AF20, "WO")</f>
        <v/>
      </c>
      <c r="AK20" s="14">
        <f>COUNTIF(B20:AF20, "HO")</f>
        <v/>
      </c>
      <c r="AL20" s="18">
        <f>COUNTIF(B20:AF20, "CF")</f>
        <v/>
      </c>
      <c r="AM20" s="19">
        <f>AG20+AH20+AI20+AL20</f>
        <v/>
      </c>
      <c r="AN20" s="20">
        <f>IF(AM20&gt;0, AG20/AM20, 0)</f>
        <v/>
      </c>
    </row>
    <row r="21" ht="32" customHeight="1">
      <c r="A21" s="35" t="inlineStr">
        <is>
          <t>SAI CHARAN
Employee</t>
        </is>
      </c>
      <c r="B21" s="36" t="inlineStr">
        <is>
          <t>P</t>
        </is>
      </c>
      <c r="C21" s="37" t="inlineStr">
        <is>
          <t>WO</t>
        </is>
      </c>
      <c r="D21" s="36" t="inlineStr">
        <is>
          <t>P</t>
        </is>
      </c>
      <c r="E21" s="42" t="inlineStr">
        <is>
          <t>L</t>
        </is>
      </c>
      <c r="F21" s="36" t="inlineStr">
        <is>
          <t>P</t>
        </is>
      </c>
      <c r="G21" s="36" t="inlineStr">
        <is>
          <t>P</t>
        </is>
      </c>
      <c r="H21" s="36" t="inlineStr">
        <is>
          <t>P</t>
        </is>
      </c>
      <c r="I21" s="36" t="inlineStr">
        <is>
          <t>P</t>
        </is>
      </c>
      <c r="J21" s="37" t="inlineStr">
        <is>
          <t>WO</t>
        </is>
      </c>
      <c r="K21" s="36" t="inlineStr">
        <is>
          <t>P</t>
        </is>
      </c>
      <c r="L21" s="36" t="inlineStr">
        <is>
          <t>P</t>
        </is>
      </c>
      <c r="M21" s="36" t="inlineStr">
        <is>
          <t>P</t>
        </is>
      </c>
      <c r="N21" s="36" t="inlineStr">
        <is>
          <t>P</t>
        </is>
      </c>
      <c r="O21" s="36" t="inlineStr">
        <is>
          <t>P</t>
        </is>
      </c>
      <c r="P21" s="38" t="inlineStr">
        <is>
          <t>-</t>
        </is>
      </c>
      <c r="Q21" s="37" t="inlineStr">
        <is>
          <t>WO</t>
        </is>
      </c>
      <c r="R21" s="36" t="inlineStr">
        <is>
          <t>P</t>
        </is>
      </c>
      <c r="S21" s="36" t="inlineStr">
        <is>
          <t>P</t>
        </is>
      </c>
      <c r="T21" s="36" t="inlineStr">
        <is>
          <t>P</t>
        </is>
      </c>
      <c r="U21" s="36" t="inlineStr">
        <is>
          <t>P</t>
        </is>
      </c>
      <c r="V21" s="36" t="inlineStr">
        <is>
          <t>P</t>
        </is>
      </c>
      <c r="W21" s="36" t="inlineStr">
        <is>
          <t>P</t>
        </is>
      </c>
      <c r="X21" s="37" t="inlineStr">
        <is>
          <t>WO</t>
        </is>
      </c>
      <c r="Y21" s="36" t="inlineStr">
        <is>
          <t>P</t>
        </is>
      </c>
      <c r="Z21" s="42" t="inlineStr">
        <is>
          <t>L</t>
        </is>
      </c>
      <c r="AA21" s="36" t="inlineStr">
        <is>
          <t>P</t>
        </is>
      </c>
      <c r="AB21" s="36" t="inlineStr">
        <is>
          <t>P</t>
        </is>
      </c>
      <c r="AC21" s="36" t="inlineStr">
        <is>
          <t>P</t>
        </is>
      </c>
      <c r="AD21" s="42" t="inlineStr">
        <is>
          <t>L</t>
        </is>
      </c>
      <c r="AE21" s="37" t="inlineStr">
        <is>
          <t>WO</t>
        </is>
      </c>
      <c r="AF21" s="38" t="inlineStr">
        <is>
          <t>-</t>
        </is>
      </c>
      <c r="AG21" s="39">
        <f>COUNTIF(B21:AF21, "P")</f>
        <v/>
      </c>
      <c r="AH21" s="15">
        <f>COUNTIF(B21:AF21, "CL")</f>
        <v/>
      </c>
      <c r="AI21" s="16">
        <f>COUNTIF(B21:AF21, "L")</f>
        <v/>
      </c>
      <c r="AJ21" s="17">
        <f>COUNTIF(B21:AF21, "WO")</f>
        <v/>
      </c>
      <c r="AK21" s="14">
        <f>COUNTIF(B21:AF21, "HO")</f>
        <v/>
      </c>
      <c r="AL21" s="18">
        <f>COUNTIF(B21:AF21, "CF")</f>
        <v/>
      </c>
      <c r="AM21" s="19">
        <f>AG21+AH21+AI21+AL21</f>
        <v/>
      </c>
      <c r="AN21" s="20">
        <f>IF(AM21&gt;0, AG21/AM21, 0)</f>
        <v/>
      </c>
    </row>
    <row r="22" ht="32" customHeight="1">
      <c r="A22" s="40" t="inlineStr">
        <is>
          <t>MANI
Employee</t>
        </is>
      </c>
      <c r="B22" s="36" t="inlineStr">
        <is>
          <t>P</t>
        </is>
      </c>
      <c r="C22" s="37" t="inlineStr">
        <is>
          <t>WO</t>
        </is>
      </c>
      <c r="D22" s="36" t="inlineStr">
        <is>
          <t>P</t>
        </is>
      </c>
      <c r="E22" s="41" t="inlineStr">
        <is>
          <t>CL</t>
        </is>
      </c>
      <c r="F22" s="36" t="inlineStr">
        <is>
          <t>P</t>
        </is>
      </c>
      <c r="G22" s="36" t="inlineStr">
        <is>
          <t>P</t>
        </is>
      </c>
      <c r="H22" s="36" t="inlineStr">
        <is>
          <t>P</t>
        </is>
      </c>
      <c r="I22" s="36" t="inlineStr">
        <is>
          <t>P</t>
        </is>
      </c>
      <c r="J22" s="37" t="inlineStr">
        <is>
          <t>WO</t>
        </is>
      </c>
      <c r="K22" s="43" t="inlineStr">
        <is>
          <t>CF</t>
        </is>
      </c>
      <c r="L22" s="42" t="inlineStr">
        <is>
          <t>L</t>
        </is>
      </c>
      <c r="M22" s="36" t="inlineStr">
        <is>
          <t>P</t>
        </is>
      </c>
      <c r="N22" s="36" t="inlineStr">
        <is>
          <t>P</t>
        </is>
      </c>
      <c r="O22" s="36" t="inlineStr">
        <is>
          <t>P</t>
        </is>
      </c>
      <c r="P22" s="38" t="inlineStr">
        <is>
          <t>-</t>
        </is>
      </c>
      <c r="Q22" s="37" t="inlineStr">
        <is>
          <t>WO</t>
        </is>
      </c>
      <c r="R22" s="42" t="inlineStr">
        <is>
          <t>L</t>
        </is>
      </c>
      <c r="S22" s="36" t="inlineStr">
        <is>
          <t>P</t>
        </is>
      </c>
      <c r="T22" s="36" t="inlineStr">
        <is>
          <t>P</t>
        </is>
      </c>
      <c r="U22" s="36" t="inlineStr">
        <is>
          <t>P</t>
        </is>
      </c>
      <c r="V22" s="36" t="inlineStr">
        <is>
          <t>P</t>
        </is>
      </c>
      <c r="W22" s="36" t="inlineStr">
        <is>
          <t>P</t>
        </is>
      </c>
      <c r="X22" s="36" t="inlineStr">
        <is>
          <t>P</t>
        </is>
      </c>
      <c r="Y22" s="36" t="inlineStr">
        <is>
          <t>P</t>
        </is>
      </c>
      <c r="Z22" s="36" t="inlineStr">
        <is>
          <t>P</t>
        </is>
      </c>
      <c r="AA22" s="42" t="inlineStr">
        <is>
          <t>L</t>
        </is>
      </c>
      <c r="AB22" s="42" t="inlineStr">
        <is>
          <t>L</t>
        </is>
      </c>
      <c r="AC22" s="42" t="inlineStr">
        <is>
          <t>L</t>
        </is>
      </c>
      <c r="AD22" s="36" t="inlineStr">
        <is>
          <t>P</t>
        </is>
      </c>
      <c r="AE22" s="37" t="inlineStr">
        <is>
          <t>WO</t>
        </is>
      </c>
      <c r="AF22" s="38" t="inlineStr">
        <is>
          <t>-</t>
        </is>
      </c>
      <c r="AG22" s="39">
        <f>COUNTIF(B22:AF22, "P")</f>
        <v/>
      </c>
      <c r="AH22" s="15">
        <f>COUNTIF(B22:AF22, "CL")</f>
        <v/>
      </c>
      <c r="AI22" s="16">
        <f>COUNTIF(B22:AF22, "L")</f>
        <v/>
      </c>
      <c r="AJ22" s="17">
        <f>COUNTIF(B22:AF22, "WO")</f>
        <v/>
      </c>
      <c r="AK22" s="14">
        <f>COUNTIF(B22:AF22, "HO")</f>
        <v/>
      </c>
      <c r="AL22" s="18">
        <f>COUNTIF(B22:AF22, "CF")</f>
        <v/>
      </c>
      <c r="AM22" s="19">
        <f>AG22+AH22+AI22+AL22</f>
        <v/>
      </c>
      <c r="AN22" s="20">
        <f>IF(AM22&gt;0, AG22/AM22, 0)</f>
        <v/>
      </c>
    </row>
    <row r="23" ht="32" customHeight="1">
      <c r="A23" s="35" t="inlineStr">
        <is>
          <t>PHANI
Employee</t>
        </is>
      </c>
      <c r="B23" s="36" t="inlineStr">
        <is>
          <t>P</t>
        </is>
      </c>
      <c r="C23" s="36" t="inlineStr">
        <is>
          <t>P</t>
        </is>
      </c>
      <c r="D23" s="36" t="inlineStr">
        <is>
          <t>P</t>
        </is>
      </c>
      <c r="E23" s="36" t="inlineStr">
        <is>
          <t>P</t>
        </is>
      </c>
      <c r="F23" s="36" t="inlineStr">
        <is>
          <t>P</t>
        </is>
      </c>
      <c r="G23" s="37" t="inlineStr">
        <is>
          <t>WO</t>
        </is>
      </c>
      <c r="H23" s="36" t="inlineStr">
        <is>
          <t>P</t>
        </is>
      </c>
      <c r="I23" s="36" t="inlineStr">
        <is>
          <t>P</t>
        </is>
      </c>
      <c r="J23" s="36" t="inlineStr">
        <is>
          <t>P</t>
        </is>
      </c>
      <c r="K23" s="37" t="inlineStr">
        <is>
          <t>WO</t>
        </is>
      </c>
      <c r="L23" s="36" t="inlineStr">
        <is>
          <t>P</t>
        </is>
      </c>
      <c r="M23" s="36" t="inlineStr">
        <is>
          <t>P</t>
        </is>
      </c>
      <c r="N23" s="36" t="inlineStr">
        <is>
          <t>P</t>
        </is>
      </c>
      <c r="O23" s="36" t="inlineStr">
        <is>
          <t>P</t>
        </is>
      </c>
      <c r="P23" s="38" t="inlineStr">
        <is>
          <t>-</t>
        </is>
      </c>
      <c r="Q23" s="41" t="inlineStr">
        <is>
          <t>CL</t>
        </is>
      </c>
      <c r="R23" s="36" t="inlineStr">
        <is>
          <t>P</t>
        </is>
      </c>
      <c r="S23" s="36" t="inlineStr">
        <is>
          <t>P</t>
        </is>
      </c>
      <c r="T23" s="36" t="inlineStr">
        <is>
          <t>P</t>
        </is>
      </c>
      <c r="U23" s="36" t="inlineStr">
        <is>
          <t>P</t>
        </is>
      </c>
      <c r="V23" s="37" t="inlineStr">
        <is>
          <t>WO</t>
        </is>
      </c>
      <c r="W23" s="43" t="inlineStr">
        <is>
          <t>CF</t>
        </is>
      </c>
      <c r="X23" s="43" t="inlineStr">
        <is>
          <t>CF</t>
        </is>
      </c>
      <c r="Y23" s="43" t="inlineStr">
        <is>
          <t>CF</t>
        </is>
      </c>
      <c r="Z23" s="43" t="inlineStr">
        <is>
          <t>CF</t>
        </is>
      </c>
      <c r="AA23" s="37" t="inlineStr">
        <is>
          <t>WO</t>
        </is>
      </c>
      <c r="AB23" s="42" t="inlineStr">
        <is>
          <t>L</t>
        </is>
      </c>
      <c r="AC23" s="42" t="inlineStr">
        <is>
          <t>L</t>
        </is>
      </c>
      <c r="AD23" s="42" t="inlineStr">
        <is>
          <t>L</t>
        </is>
      </c>
      <c r="AE23" s="36" t="inlineStr">
        <is>
          <t>P</t>
        </is>
      </c>
      <c r="AF23" s="38" t="inlineStr">
        <is>
          <t>-</t>
        </is>
      </c>
      <c r="AG23" s="39">
        <f>COUNTIF(B23:AF23, "P")</f>
        <v/>
      </c>
      <c r="AH23" s="15">
        <f>COUNTIF(B23:AF23, "CL")</f>
        <v/>
      </c>
      <c r="AI23" s="16">
        <f>COUNTIF(B23:AF23, "L")</f>
        <v/>
      </c>
      <c r="AJ23" s="17">
        <f>COUNTIF(B23:AF23, "WO")</f>
        <v/>
      </c>
      <c r="AK23" s="14">
        <f>COUNTIF(B23:AF23, "HO")</f>
        <v/>
      </c>
      <c r="AL23" s="18">
        <f>COUNTIF(B23:AF23, "CF")</f>
        <v/>
      </c>
      <c r="AM23" s="19">
        <f>AG23+AH23+AI23+AL23</f>
        <v/>
      </c>
      <c r="AN23" s="20">
        <f>IF(AM23&gt;0, AG23/AM23, 0)</f>
        <v/>
      </c>
    </row>
    <row r="24" ht="32" customHeight="1">
      <c r="A24" s="40" t="inlineStr">
        <is>
          <t>PRAVEEN KUMAR
Employee</t>
        </is>
      </c>
      <c r="B24" s="38" t="inlineStr">
        <is>
          <t>-</t>
        </is>
      </c>
      <c r="C24" s="38" t="inlineStr">
        <is>
          <t>-</t>
        </is>
      </c>
      <c r="D24" s="38" t="inlineStr">
        <is>
          <t>-</t>
        </is>
      </c>
      <c r="E24" s="38" t="inlineStr">
        <is>
          <t>-</t>
        </is>
      </c>
      <c r="F24" s="38" t="inlineStr">
        <is>
          <t>-</t>
        </is>
      </c>
      <c r="G24" s="38" t="inlineStr">
        <is>
          <t>-</t>
        </is>
      </c>
      <c r="H24" s="38" t="inlineStr">
        <is>
          <t>-</t>
        </is>
      </c>
      <c r="I24" s="38" t="inlineStr">
        <is>
          <t>-</t>
        </is>
      </c>
      <c r="J24" s="38" t="inlineStr">
        <is>
          <t>-</t>
        </is>
      </c>
      <c r="K24" s="38" t="inlineStr">
        <is>
          <t>-</t>
        </is>
      </c>
      <c r="L24" s="38" t="inlineStr">
        <is>
          <t>-</t>
        </is>
      </c>
      <c r="M24" s="38" t="inlineStr">
        <is>
          <t>-</t>
        </is>
      </c>
      <c r="N24" s="38" t="inlineStr">
        <is>
          <t>-</t>
        </is>
      </c>
      <c r="O24" s="38" t="inlineStr">
        <is>
          <t>-</t>
        </is>
      </c>
      <c r="P24" s="38" t="inlineStr">
        <is>
          <t>-</t>
        </is>
      </c>
      <c r="Q24" s="38" t="inlineStr">
        <is>
          <t>-</t>
        </is>
      </c>
      <c r="R24" s="38" t="inlineStr">
        <is>
          <t>-</t>
        </is>
      </c>
      <c r="S24" s="38" t="inlineStr">
        <is>
          <t>-</t>
        </is>
      </c>
      <c r="T24" s="38" t="inlineStr">
        <is>
          <t>-</t>
        </is>
      </c>
      <c r="U24" s="38" t="inlineStr">
        <is>
          <t>-</t>
        </is>
      </c>
      <c r="V24" s="38" t="inlineStr">
        <is>
          <t>-</t>
        </is>
      </c>
      <c r="W24" s="38" t="inlineStr">
        <is>
          <t>-</t>
        </is>
      </c>
      <c r="X24" s="38" t="inlineStr">
        <is>
          <t>-</t>
        </is>
      </c>
      <c r="Y24" s="38" t="inlineStr">
        <is>
          <t>-</t>
        </is>
      </c>
      <c r="Z24" s="38" t="inlineStr">
        <is>
          <t>-</t>
        </is>
      </c>
      <c r="AA24" s="38" t="inlineStr">
        <is>
          <t>-</t>
        </is>
      </c>
      <c r="AB24" s="38" t="inlineStr">
        <is>
          <t>-</t>
        </is>
      </c>
      <c r="AC24" s="38" t="inlineStr">
        <is>
          <t>-</t>
        </is>
      </c>
      <c r="AD24" s="38" t="inlineStr">
        <is>
          <t>-</t>
        </is>
      </c>
      <c r="AE24" s="38" t="inlineStr">
        <is>
          <t>-</t>
        </is>
      </c>
      <c r="AF24" s="38" t="inlineStr">
        <is>
          <t>-</t>
        </is>
      </c>
      <c r="AG24" s="39">
        <f>COUNTIF(B24:AF24, "P")</f>
        <v/>
      </c>
      <c r="AH24" s="15">
        <f>COUNTIF(B24:AF24, "CL")</f>
        <v/>
      </c>
      <c r="AI24" s="16">
        <f>COUNTIF(B24:AF24, "L")</f>
        <v/>
      </c>
      <c r="AJ24" s="17">
        <f>COUNTIF(B24:AF24, "WO")</f>
        <v/>
      </c>
      <c r="AK24" s="14">
        <f>COUNTIF(B24:AF24, "HO")</f>
        <v/>
      </c>
      <c r="AL24" s="18">
        <f>COUNTIF(B24:AF24, "CF")</f>
        <v/>
      </c>
      <c r="AM24" s="19">
        <f>AG24+AH24+AI24+AL24</f>
        <v/>
      </c>
      <c r="AN24" s="20">
        <f>IF(AM24&gt;0, AG24/AM24, 0)</f>
        <v/>
      </c>
    </row>
    <row r="25" ht="32" customHeight="1">
      <c r="A25" s="35" t="inlineStr">
        <is>
          <t>RAVALI
Employee</t>
        </is>
      </c>
      <c r="B25" s="38" t="inlineStr">
        <is>
          <t>-</t>
        </is>
      </c>
      <c r="C25" s="38" t="inlineStr">
        <is>
          <t>-</t>
        </is>
      </c>
      <c r="D25" s="38" t="inlineStr">
        <is>
          <t>-</t>
        </is>
      </c>
      <c r="E25" s="38" t="inlineStr">
        <is>
          <t>-</t>
        </is>
      </c>
      <c r="F25" s="38" t="inlineStr">
        <is>
          <t>-</t>
        </is>
      </c>
      <c r="G25" s="38" t="inlineStr">
        <is>
          <t>-</t>
        </is>
      </c>
      <c r="H25" s="38" t="inlineStr">
        <is>
          <t>-</t>
        </is>
      </c>
      <c r="I25" s="38" t="inlineStr">
        <is>
          <t>-</t>
        </is>
      </c>
      <c r="J25" s="38" t="inlineStr">
        <is>
          <t>-</t>
        </is>
      </c>
      <c r="K25" s="38" t="inlineStr">
        <is>
          <t>-</t>
        </is>
      </c>
      <c r="L25" s="38" t="inlineStr">
        <is>
          <t>-</t>
        </is>
      </c>
      <c r="M25" s="38" t="inlineStr">
        <is>
          <t>-</t>
        </is>
      </c>
      <c r="N25" s="38" t="inlineStr">
        <is>
          <t>-</t>
        </is>
      </c>
      <c r="O25" s="38" t="inlineStr">
        <is>
          <t>-</t>
        </is>
      </c>
      <c r="P25" s="38" t="inlineStr">
        <is>
          <t>-</t>
        </is>
      </c>
      <c r="Q25" s="38" t="inlineStr">
        <is>
          <t>-</t>
        </is>
      </c>
      <c r="R25" s="38" t="inlineStr">
        <is>
          <t>-</t>
        </is>
      </c>
      <c r="S25" s="38" t="inlineStr">
        <is>
          <t>-</t>
        </is>
      </c>
      <c r="T25" s="38" t="inlineStr">
        <is>
          <t>-</t>
        </is>
      </c>
      <c r="U25" s="38" t="inlineStr">
        <is>
          <t>-</t>
        </is>
      </c>
      <c r="V25" s="38" t="inlineStr">
        <is>
          <t>-</t>
        </is>
      </c>
      <c r="W25" s="38" t="inlineStr">
        <is>
          <t>-</t>
        </is>
      </c>
      <c r="X25" s="38" t="inlineStr">
        <is>
          <t>-</t>
        </is>
      </c>
      <c r="Y25" s="38" t="inlineStr">
        <is>
          <t>-</t>
        </is>
      </c>
      <c r="Z25" s="38" t="inlineStr">
        <is>
          <t>-</t>
        </is>
      </c>
      <c r="AA25" s="38" t="inlineStr">
        <is>
          <t>-</t>
        </is>
      </c>
      <c r="AB25" s="38" t="inlineStr">
        <is>
          <t>-</t>
        </is>
      </c>
      <c r="AC25" s="38" t="inlineStr">
        <is>
          <t>-</t>
        </is>
      </c>
      <c r="AD25" s="38" t="inlineStr">
        <is>
          <t>-</t>
        </is>
      </c>
      <c r="AE25" s="38" t="inlineStr">
        <is>
          <t>-</t>
        </is>
      </c>
      <c r="AF25" s="38" t="inlineStr">
        <is>
          <t>-</t>
        </is>
      </c>
      <c r="AG25" s="39">
        <f>COUNTIF(B25:AF25, "P")</f>
        <v/>
      </c>
      <c r="AH25" s="15">
        <f>COUNTIF(B25:AF25, "CL")</f>
        <v/>
      </c>
      <c r="AI25" s="16">
        <f>COUNTIF(B25:AF25, "L")</f>
        <v/>
      </c>
      <c r="AJ25" s="17">
        <f>COUNTIF(B25:AF25, "WO")</f>
        <v/>
      </c>
      <c r="AK25" s="14">
        <f>COUNTIF(B25:AF25, "HO")</f>
        <v/>
      </c>
      <c r="AL25" s="18">
        <f>COUNTIF(B25:AF25, "CF")</f>
        <v/>
      </c>
      <c r="AM25" s="19">
        <f>AG25+AH25+AI25+AL25</f>
        <v/>
      </c>
      <c r="AN25" s="20">
        <f>IF(AM25&gt;0, AG25/AM25, 0)</f>
        <v/>
      </c>
    </row>
    <row r="26" ht="32" customHeight="1">
      <c r="A26" s="40" t="inlineStr">
        <is>
          <t>VITTAL
Employee</t>
        </is>
      </c>
      <c r="B26" s="38" t="inlineStr">
        <is>
          <t>-</t>
        </is>
      </c>
      <c r="C26" s="38" t="inlineStr">
        <is>
          <t>-</t>
        </is>
      </c>
      <c r="D26" s="38" t="inlineStr">
        <is>
          <t>-</t>
        </is>
      </c>
      <c r="E26" s="38" t="inlineStr">
        <is>
          <t>-</t>
        </is>
      </c>
      <c r="F26" s="38" t="inlineStr">
        <is>
          <t>-</t>
        </is>
      </c>
      <c r="G26" s="38" t="inlineStr">
        <is>
          <t>-</t>
        </is>
      </c>
      <c r="H26" s="38" t="inlineStr">
        <is>
          <t>-</t>
        </is>
      </c>
      <c r="I26" s="38" t="inlineStr">
        <is>
          <t>-</t>
        </is>
      </c>
      <c r="J26" s="38" t="inlineStr">
        <is>
          <t>-</t>
        </is>
      </c>
      <c r="K26" s="38" t="inlineStr">
        <is>
          <t>-</t>
        </is>
      </c>
      <c r="L26" s="38" t="inlineStr">
        <is>
          <t>-</t>
        </is>
      </c>
      <c r="M26" s="38" t="inlineStr">
        <is>
          <t>-</t>
        </is>
      </c>
      <c r="N26" s="38" t="inlineStr">
        <is>
          <t>-</t>
        </is>
      </c>
      <c r="O26" s="38" t="inlineStr">
        <is>
          <t>-</t>
        </is>
      </c>
      <c r="P26" s="38" t="inlineStr">
        <is>
          <t>-</t>
        </is>
      </c>
      <c r="Q26" s="38" t="inlineStr">
        <is>
          <t>-</t>
        </is>
      </c>
      <c r="R26" s="38" t="inlineStr">
        <is>
          <t>-</t>
        </is>
      </c>
      <c r="S26" s="38" t="inlineStr">
        <is>
          <t>-</t>
        </is>
      </c>
      <c r="T26" s="38" t="inlineStr">
        <is>
          <t>-</t>
        </is>
      </c>
      <c r="U26" s="38" t="inlineStr">
        <is>
          <t>-</t>
        </is>
      </c>
      <c r="V26" s="38" t="inlineStr">
        <is>
          <t>-</t>
        </is>
      </c>
      <c r="W26" s="38" t="inlineStr">
        <is>
          <t>-</t>
        </is>
      </c>
      <c r="X26" s="38" t="inlineStr">
        <is>
          <t>-</t>
        </is>
      </c>
      <c r="Y26" s="38" t="inlineStr">
        <is>
          <t>-</t>
        </is>
      </c>
      <c r="Z26" s="38" t="inlineStr">
        <is>
          <t>-</t>
        </is>
      </c>
      <c r="AA26" s="38" t="inlineStr">
        <is>
          <t>-</t>
        </is>
      </c>
      <c r="AB26" s="38" t="inlineStr">
        <is>
          <t>-</t>
        </is>
      </c>
      <c r="AC26" s="38" t="inlineStr">
        <is>
          <t>-</t>
        </is>
      </c>
      <c r="AD26" s="38" t="inlineStr">
        <is>
          <t>-</t>
        </is>
      </c>
      <c r="AE26" s="38" t="inlineStr">
        <is>
          <t>-</t>
        </is>
      </c>
      <c r="AF26" s="38" t="inlineStr">
        <is>
          <t>-</t>
        </is>
      </c>
      <c r="AG26" s="39">
        <f>COUNTIF(B26:AF26, "P")</f>
        <v/>
      </c>
      <c r="AH26" s="15">
        <f>COUNTIF(B26:AF26, "CL")</f>
        <v/>
      </c>
      <c r="AI26" s="16">
        <f>COUNTIF(B26:AF26, "L")</f>
        <v/>
      </c>
      <c r="AJ26" s="17">
        <f>COUNTIF(B26:AF26, "WO")</f>
        <v/>
      </c>
      <c r="AK26" s="14">
        <f>COUNTIF(B26:AF26, "HO")</f>
        <v/>
      </c>
      <c r="AL26" s="18">
        <f>COUNTIF(B26:AF26, "CF")</f>
        <v/>
      </c>
      <c r="AM26" s="19">
        <f>AG26+AH26+AI26+AL26</f>
        <v/>
      </c>
      <c r="AN26" s="20">
        <f>IF(AM26&gt;0, AG26/AM26, 0)</f>
        <v/>
      </c>
    </row>
    <row r="27" ht="30" customHeight="1">
      <c r="A27" s="44" t="inlineStr">
        <is>
          <t>Overall Staff Total / Daily Present</t>
        </is>
      </c>
      <c r="B27" s="45">
        <f>COUNTIF(B5:B26, "P")</f>
        <v/>
      </c>
      <c r="C27" s="45">
        <f>COUNTIF(C5:C26, "P")</f>
        <v/>
      </c>
      <c r="D27" s="45">
        <f>COUNTIF(D5:D26, "P")</f>
        <v/>
      </c>
      <c r="E27" s="45">
        <f>COUNTIF(E5:E26, "P")</f>
        <v/>
      </c>
      <c r="F27" s="45">
        <f>COUNTIF(F5:F26, "P")</f>
        <v/>
      </c>
      <c r="G27" s="45">
        <f>COUNTIF(G5:G26, "P")</f>
        <v/>
      </c>
      <c r="H27" s="45">
        <f>COUNTIF(H5:H26, "P")</f>
        <v/>
      </c>
      <c r="I27" s="45">
        <f>COUNTIF(I5:I26, "P")</f>
        <v/>
      </c>
      <c r="J27" s="45">
        <f>COUNTIF(J5:J26, "P")</f>
        <v/>
      </c>
      <c r="K27" s="45">
        <f>COUNTIF(K5:K26, "P")</f>
        <v/>
      </c>
      <c r="L27" s="45">
        <f>COUNTIF(L5:L26, "P")</f>
        <v/>
      </c>
      <c r="M27" s="45">
        <f>COUNTIF(M5:M26, "P")</f>
        <v/>
      </c>
      <c r="N27" s="45">
        <f>COUNTIF(N5:N26, "P")</f>
        <v/>
      </c>
      <c r="O27" s="45">
        <f>COUNTIF(O5:O26, "P")</f>
        <v/>
      </c>
      <c r="P27" s="45">
        <f>COUNTIF(P5:P26, "P")</f>
        <v/>
      </c>
      <c r="Q27" s="45">
        <f>COUNTIF(Q5:Q26, "P")</f>
        <v/>
      </c>
      <c r="R27" s="45">
        <f>COUNTIF(R5:R26, "P")</f>
        <v/>
      </c>
      <c r="S27" s="45">
        <f>COUNTIF(S5:S26, "P")</f>
        <v/>
      </c>
      <c r="T27" s="45">
        <f>COUNTIF(T5:T26, "P")</f>
        <v/>
      </c>
      <c r="U27" s="45">
        <f>COUNTIF(U5:U26, "P")</f>
        <v/>
      </c>
      <c r="V27" s="45">
        <f>COUNTIF(V5:V26, "P")</f>
        <v/>
      </c>
      <c r="W27" s="45">
        <f>COUNTIF(W5:W26, "P")</f>
        <v/>
      </c>
      <c r="X27" s="45">
        <f>COUNTIF(X5:X26, "P")</f>
        <v/>
      </c>
      <c r="Y27" s="45">
        <f>COUNTIF(Y5:Y26, "P")</f>
        <v/>
      </c>
      <c r="Z27" s="45">
        <f>COUNTIF(Z5:Z26, "P")</f>
        <v/>
      </c>
      <c r="AA27" s="45">
        <f>COUNTIF(AA5:AA26, "P")</f>
        <v/>
      </c>
      <c r="AB27" s="45">
        <f>COUNTIF(AB5:AB26, "P")</f>
        <v/>
      </c>
      <c r="AC27" s="45">
        <f>COUNTIF(AC5:AC26, "P")</f>
        <v/>
      </c>
      <c r="AD27" s="45">
        <f>COUNTIF(AD5:AD26, "P")</f>
        <v/>
      </c>
      <c r="AE27" s="45">
        <f>COUNTIF(AE5:AE26, "P")</f>
        <v/>
      </c>
      <c r="AF27" s="45">
        <f>COUNTIF(AF5:AF26, "P")</f>
        <v/>
      </c>
      <c r="AG27" s="46">
        <f>SUM(AG5:AG26)</f>
        <v/>
      </c>
      <c r="AH27" s="46">
        <f>SUM(AH5:AH26)</f>
        <v/>
      </c>
      <c r="AI27" s="46">
        <f>SUM(AI5:AI26)</f>
        <v/>
      </c>
      <c r="AJ27" s="46">
        <f>SUM(AJ5:AJ26)</f>
        <v/>
      </c>
      <c r="AK27" s="46">
        <f>SUM(AK5:AK26)</f>
        <v/>
      </c>
      <c r="AL27" s="46">
        <f>SUM(AL5:AL26)</f>
        <v/>
      </c>
      <c r="AM27" s="46">
        <f>SUM(AM5:AM26)</f>
        <v/>
      </c>
      <c r="AN27" s="24">
        <f>IF(AM27&gt;0, AG27/AM27, 0)</f>
        <v/>
      </c>
    </row>
  </sheetData>
  <mergeCells count="2">
    <mergeCell ref="A2:AN2"/>
    <mergeCell ref="A1:A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11" customWidth="1" min="39" max="39"/>
    <col width="14" customWidth="1" min="40" max="40"/>
  </cols>
  <sheetData>
    <row r="1" ht="36" customHeight="1">
      <c r="A1" s="25" t="inlineStr">
        <is>
          <t>VASUS ATTENDANCE TRACKER — JULY 2026</t>
        </is>
      </c>
    </row>
    <row r="2" ht="24" customHeight="1">
      <c r="A2" s="2" t="inlineStr">
        <is>
          <t>Status Codes:  [P] Present (Green)  |  [CL] Casual Leave (Teal)  |  [L] Leave (Red)  |  [WO] Week Off (Purple)  |  [HO] Holiday (Mint)  |  [CF] Comp Off (Pink)  |  [-] Blank</t>
        </is>
      </c>
    </row>
    <row r="3" ht="10" customHeight="1"/>
    <row r="4" ht="36" customHeight="1">
      <c r="A4" s="26" t="inlineStr">
        <is>
          <t>Employee / Doctor</t>
        </is>
      </c>
      <c r="B4" s="27" t="inlineStr">
        <is>
          <t>1
Wed</t>
        </is>
      </c>
      <c r="C4" s="27" t="inlineStr">
        <is>
          <t>2
Thu</t>
        </is>
      </c>
      <c r="D4" s="27" t="inlineStr">
        <is>
          <t>3
Fri</t>
        </is>
      </c>
      <c r="E4" s="27" t="inlineStr">
        <is>
          <t>4
Sat</t>
        </is>
      </c>
      <c r="F4" s="27" t="inlineStr">
        <is>
          <t>5
Sun</t>
        </is>
      </c>
      <c r="G4" s="27" t="inlineStr">
        <is>
          <t>6
Mon</t>
        </is>
      </c>
      <c r="H4" s="27" t="inlineStr">
        <is>
          <t>7
Tue</t>
        </is>
      </c>
      <c r="I4" s="27" t="inlineStr">
        <is>
          <t>8
Wed</t>
        </is>
      </c>
      <c r="J4" s="27" t="inlineStr">
        <is>
          <t>9
Thu</t>
        </is>
      </c>
      <c r="K4" s="27" t="inlineStr">
        <is>
          <t>10
Fri</t>
        </is>
      </c>
      <c r="L4" s="27" t="inlineStr">
        <is>
          <t>11
Sat</t>
        </is>
      </c>
      <c r="M4" s="27" t="inlineStr">
        <is>
          <t>12
Sun</t>
        </is>
      </c>
      <c r="N4" s="27" t="inlineStr">
        <is>
          <t>13
Mon</t>
        </is>
      </c>
      <c r="O4" s="27" t="inlineStr">
        <is>
          <t>14
Tue</t>
        </is>
      </c>
      <c r="P4" s="27" t="inlineStr">
        <is>
          <t>15
Wed</t>
        </is>
      </c>
      <c r="Q4" s="27" t="inlineStr">
        <is>
          <t>16
Thu</t>
        </is>
      </c>
      <c r="R4" s="27" t="inlineStr">
        <is>
          <t>17
Fri</t>
        </is>
      </c>
      <c r="S4" s="27" t="inlineStr">
        <is>
          <t>18
Sat</t>
        </is>
      </c>
      <c r="T4" s="27" t="inlineStr">
        <is>
          <t>19
Sun</t>
        </is>
      </c>
      <c r="U4" s="27" t="inlineStr">
        <is>
          <t>20
Mon</t>
        </is>
      </c>
      <c r="V4" s="27" t="inlineStr">
        <is>
          <t>21
Tue</t>
        </is>
      </c>
      <c r="W4" s="27" t="inlineStr">
        <is>
          <t>22
Wed</t>
        </is>
      </c>
      <c r="X4" s="27" t="inlineStr">
        <is>
          <t>23
Thu</t>
        </is>
      </c>
      <c r="Y4" s="27" t="inlineStr">
        <is>
          <t>24
Fri</t>
        </is>
      </c>
      <c r="Z4" s="27" t="inlineStr">
        <is>
          <t>25
Sat</t>
        </is>
      </c>
      <c r="AA4" s="27" t="inlineStr">
        <is>
          <t>26
Sun</t>
        </is>
      </c>
      <c r="AB4" s="27" t="inlineStr">
        <is>
          <t>27
Mon</t>
        </is>
      </c>
      <c r="AC4" s="27" t="inlineStr">
        <is>
          <t>28
Tue</t>
        </is>
      </c>
      <c r="AD4" s="27" t="inlineStr">
        <is>
          <t>29
Wed</t>
        </is>
      </c>
      <c r="AE4" s="27" t="inlineStr">
        <is>
          <t>30
Thu</t>
        </is>
      </c>
      <c r="AF4" s="27" t="inlineStr">
        <is>
          <t>31
Fri</t>
        </is>
      </c>
      <c r="AG4" s="28" t="inlineStr">
        <is>
          <t>P</t>
        </is>
      </c>
      <c r="AH4" s="29" t="inlineStr">
        <is>
          <t>CL</t>
        </is>
      </c>
      <c r="AI4" s="30" t="inlineStr">
        <is>
          <t>L</t>
        </is>
      </c>
      <c r="AJ4" s="31" t="inlineStr">
        <is>
          <t>WO</t>
        </is>
      </c>
      <c r="AK4" s="32" t="inlineStr">
        <is>
          <t>HO</t>
        </is>
      </c>
      <c r="AL4" s="33" t="inlineStr">
        <is>
          <t>CF</t>
        </is>
      </c>
      <c r="AM4" s="27" t="inlineStr">
        <is>
          <t>Working
Days</t>
        </is>
      </c>
      <c r="AN4" s="34" t="inlineStr">
        <is>
          <t>Attendance
%</t>
        </is>
      </c>
    </row>
    <row r="5" ht="32" customHeight="1">
      <c r="A5" s="35" t="inlineStr">
        <is>
          <t>DR PRANAY
Doctor</t>
        </is>
      </c>
      <c r="B5" s="36" t="inlineStr">
        <is>
          <t>P</t>
        </is>
      </c>
      <c r="C5" s="36" t="inlineStr">
        <is>
          <t>P</t>
        </is>
      </c>
      <c r="D5" s="36" t="inlineStr">
        <is>
          <t>P</t>
        </is>
      </c>
      <c r="E5" s="37" t="inlineStr">
        <is>
          <t>WO</t>
        </is>
      </c>
      <c r="F5" s="36" t="inlineStr">
        <is>
          <t>P</t>
        </is>
      </c>
      <c r="G5" s="36" t="inlineStr">
        <is>
          <t>P</t>
        </is>
      </c>
      <c r="H5" s="36" t="inlineStr">
        <is>
          <t>P</t>
        </is>
      </c>
      <c r="I5" s="36" t="inlineStr">
        <is>
          <t>P</t>
        </is>
      </c>
      <c r="J5" s="36" t="inlineStr">
        <is>
          <t>P</t>
        </is>
      </c>
      <c r="K5" s="36" t="inlineStr">
        <is>
          <t>P</t>
        </is>
      </c>
      <c r="L5" s="37" t="inlineStr">
        <is>
          <t>WO</t>
        </is>
      </c>
      <c r="M5" s="36" t="inlineStr">
        <is>
          <t>P</t>
        </is>
      </c>
      <c r="N5" s="36" t="inlineStr">
        <is>
          <t>P</t>
        </is>
      </c>
      <c r="O5" s="36" t="inlineStr">
        <is>
          <t>P</t>
        </is>
      </c>
      <c r="P5" s="36" t="inlineStr">
        <is>
          <t>P</t>
        </is>
      </c>
      <c r="Q5" s="36" t="inlineStr">
        <is>
          <t>P</t>
        </is>
      </c>
      <c r="R5" s="36" t="inlineStr">
        <is>
          <t>P</t>
        </is>
      </c>
      <c r="S5" s="36" t="inlineStr">
        <is>
          <t>P</t>
        </is>
      </c>
      <c r="T5" s="36" t="inlineStr">
        <is>
          <t>P</t>
        </is>
      </c>
      <c r="U5" s="36" t="inlineStr">
        <is>
          <t>P</t>
        </is>
      </c>
      <c r="V5" s="36" t="inlineStr">
        <is>
          <t>P</t>
        </is>
      </c>
      <c r="W5" s="36" t="inlineStr">
        <is>
          <t>P</t>
        </is>
      </c>
      <c r="X5" s="36" t="inlineStr">
        <is>
          <t>P</t>
        </is>
      </c>
      <c r="Y5" s="36" t="inlineStr">
        <is>
          <t>P</t>
        </is>
      </c>
      <c r="Z5" s="36" t="inlineStr">
        <is>
          <t>P</t>
        </is>
      </c>
      <c r="AA5" s="36" t="inlineStr">
        <is>
          <t>P</t>
        </is>
      </c>
      <c r="AB5" s="36" t="inlineStr">
        <is>
          <t>P</t>
        </is>
      </c>
      <c r="AC5" s="36" t="inlineStr">
        <is>
          <t>P</t>
        </is>
      </c>
      <c r="AD5" s="38" t="inlineStr">
        <is>
          <t>-</t>
        </is>
      </c>
      <c r="AE5" s="38" t="inlineStr">
        <is>
          <t>-</t>
        </is>
      </c>
      <c r="AF5" s="38" t="inlineStr">
        <is>
          <t>-</t>
        </is>
      </c>
      <c r="AG5" s="39">
        <f>COUNTIF(B5:AF5, "P")</f>
        <v/>
      </c>
      <c r="AH5" s="15">
        <f>COUNTIF(B5:AF5, "CL")</f>
        <v/>
      </c>
      <c r="AI5" s="16">
        <f>COUNTIF(B5:AF5, "L")</f>
        <v/>
      </c>
      <c r="AJ5" s="17">
        <f>COUNTIF(B5:AF5, "WO")</f>
        <v/>
      </c>
      <c r="AK5" s="14">
        <f>COUNTIF(B5:AF5, "HO")</f>
        <v/>
      </c>
      <c r="AL5" s="18">
        <f>COUNTIF(B5:AF5, "CF")</f>
        <v/>
      </c>
      <c r="AM5" s="19">
        <f>AG5+AH5+AI5+AL5</f>
        <v/>
      </c>
      <c r="AN5" s="20">
        <f>IF(AM5&gt;0, AG5/AM5, 0)</f>
        <v/>
      </c>
    </row>
    <row r="6" ht="32" customHeight="1">
      <c r="A6" s="40" t="inlineStr">
        <is>
          <t>DR BINDU
Doctor</t>
        </is>
      </c>
      <c r="B6" s="36" t="inlineStr">
        <is>
          <t>P</t>
        </is>
      </c>
      <c r="C6" s="36" t="inlineStr">
        <is>
          <t>P</t>
        </is>
      </c>
      <c r="D6" s="36" t="inlineStr">
        <is>
          <t>P</t>
        </is>
      </c>
      <c r="E6" s="36" t="inlineStr">
        <is>
          <t>P</t>
        </is>
      </c>
      <c r="F6" s="37" t="inlineStr">
        <is>
          <t>WO</t>
        </is>
      </c>
      <c r="G6" s="36" t="inlineStr">
        <is>
          <t>P</t>
        </is>
      </c>
      <c r="H6" s="36" t="inlineStr">
        <is>
          <t>P</t>
        </is>
      </c>
      <c r="I6" s="36" t="inlineStr">
        <is>
          <t>P</t>
        </is>
      </c>
      <c r="J6" s="36" t="inlineStr">
        <is>
          <t>P</t>
        </is>
      </c>
      <c r="K6" s="36" t="inlineStr">
        <is>
          <t>P</t>
        </is>
      </c>
      <c r="L6" s="36" t="inlineStr">
        <is>
          <t>P</t>
        </is>
      </c>
      <c r="M6" s="37" t="inlineStr">
        <is>
          <t>WO</t>
        </is>
      </c>
      <c r="N6" s="36" t="inlineStr">
        <is>
          <t>P</t>
        </is>
      </c>
      <c r="O6" s="36" t="inlineStr">
        <is>
          <t>P</t>
        </is>
      </c>
      <c r="P6" s="36" t="inlineStr">
        <is>
          <t>P</t>
        </is>
      </c>
      <c r="Q6" s="36" t="inlineStr">
        <is>
          <t>P</t>
        </is>
      </c>
      <c r="R6" s="36" t="inlineStr">
        <is>
          <t>P</t>
        </is>
      </c>
      <c r="S6" s="36" t="inlineStr">
        <is>
          <t>P</t>
        </is>
      </c>
      <c r="T6" s="37" t="inlineStr">
        <is>
          <t>WO</t>
        </is>
      </c>
      <c r="U6" s="36" t="inlineStr">
        <is>
          <t>P</t>
        </is>
      </c>
      <c r="V6" s="36" t="inlineStr">
        <is>
          <t>P</t>
        </is>
      </c>
      <c r="W6" s="36" t="inlineStr">
        <is>
          <t>P</t>
        </is>
      </c>
      <c r="X6" s="36" t="inlineStr">
        <is>
          <t>P</t>
        </is>
      </c>
      <c r="Y6" s="36" t="inlineStr">
        <is>
          <t>P</t>
        </is>
      </c>
      <c r="Z6" s="36" t="inlineStr">
        <is>
          <t>P</t>
        </is>
      </c>
      <c r="AA6" s="37" t="inlineStr">
        <is>
          <t>WO</t>
        </is>
      </c>
      <c r="AB6" s="36" t="inlineStr">
        <is>
          <t>P</t>
        </is>
      </c>
      <c r="AC6" s="36" t="inlineStr">
        <is>
          <t>P</t>
        </is>
      </c>
      <c r="AD6" s="38" t="inlineStr">
        <is>
          <t>-</t>
        </is>
      </c>
      <c r="AE6" s="38" t="inlineStr">
        <is>
          <t>-</t>
        </is>
      </c>
      <c r="AF6" s="38" t="inlineStr">
        <is>
          <t>-</t>
        </is>
      </c>
      <c r="AG6" s="39">
        <f>COUNTIF(B6:AF6, "P")</f>
        <v/>
      </c>
      <c r="AH6" s="15">
        <f>COUNTIF(B6:AF6, "CL")</f>
        <v/>
      </c>
      <c r="AI6" s="16">
        <f>COUNTIF(B6:AF6, "L")</f>
        <v/>
      </c>
      <c r="AJ6" s="17">
        <f>COUNTIF(B6:AF6, "WO")</f>
        <v/>
      </c>
      <c r="AK6" s="14">
        <f>COUNTIF(B6:AF6, "HO")</f>
        <v/>
      </c>
      <c r="AL6" s="18">
        <f>COUNTIF(B6:AF6, "CF")</f>
        <v/>
      </c>
      <c r="AM6" s="19">
        <f>AG6+AH6+AI6+AL6</f>
        <v/>
      </c>
      <c r="AN6" s="20">
        <f>IF(AM6&gt;0, AG6/AM6, 0)</f>
        <v/>
      </c>
    </row>
    <row r="7" ht="32" customHeight="1">
      <c r="A7" s="35" t="inlineStr">
        <is>
          <t>DR CHINJU
Doctor</t>
        </is>
      </c>
      <c r="B7" s="36" t="inlineStr">
        <is>
          <t>P</t>
        </is>
      </c>
      <c r="C7" s="36" t="inlineStr">
        <is>
          <t>P</t>
        </is>
      </c>
      <c r="D7" s="36" t="inlineStr">
        <is>
          <t>P</t>
        </is>
      </c>
      <c r="E7" s="36" t="inlineStr">
        <is>
          <t>P</t>
        </is>
      </c>
      <c r="F7" s="37" t="inlineStr">
        <is>
          <t>WO</t>
        </is>
      </c>
      <c r="G7" s="36" t="inlineStr">
        <is>
          <t>P</t>
        </is>
      </c>
      <c r="H7" s="36" t="inlineStr">
        <is>
          <t>P</t>
        </is>
      </c>
      <c r="I7" s="36" t="inlineStr">
        <is>
          <t>P</t>
        </is>
      </c>
      <c r="J7" s="36" t="inlineStr">
        <is>
          <t>P</t>
        </is>
      </c>
      <c r="K7" s="36" t="inlineStr">
        <is>
          <t>P</t>
        </is>
      </c>
      <c r="L7" s="36" t="inlineStr">
        <is>
          <t>P</t>
        </is>
      </c>
      <c r="M7" s="37" t="inlineStr">
        <is>
          <t>WO</t>
        </is>
      </c>
      <c r="N7" s="36" t="inlineStr">
        <is>
          <t>P</t>
        </is>
      </c>
      <c r="O7" s="36" t="inlineStr">
        <is>
          <t>P</t>
        </is>
      </c>
      <c r="P7" s="36" t="inlineStr">
        <is>
          <t>P</t>
        </is>
      </c>
      <c r="Q7" s="36" t="inlineStr">
        <is>
          <t>P</t>
        </is>
      </c>
      <c r="R7" s="36" t="inlineStr">
        <is>
          <t>P</t>
        </is>
      </c>
      <c r="S7" s="36" t="inlineStr">
        <is>
          <t>P</t>
        </is>
      </c>
      <c r="T7" s="37" t="inlineStr">
        <is>
          <t>WO</t>
        </is>
      </c>
      <c r="U7" s="36" t="inlineStr">
        <is>
          <t>P</t>
        </is>
      </c>
      <c r="V7" s="36" t="inlineStr">
        <is>
          <t>P</t>
        </is>
      </c>
      <c r="W7" s="36" t="inlineStr">
        <is>
          <t>P</t>
        </is>
      </c>
      <c r="X7" s="36" t="inlineStr">
        <is>
          <t>P</t>
        </is>
      </c>
      <c r="Y7" s="36" t="inlineStr">
        <is>
          <t>P</t>
        </is>
      </c>
      <c r="Z7" s="36" t="inlineStr">
        <is>
          <t>P</t>
        </is>
      </c>
      <c r="AA7" s="37" t="inlineStr">
        <is>
          <t>WO</t>
        </is>
      </c>
      <c r="AB7" s="36" t="inlineStr">
        <is>
          <t>P</t>
        </is>
      </c>
      <c r="AC7" s="36" t="inlineStr">
        <is>
          <t>P</t>
        </is>
      </c>
      <c r="AD7" s="38" t="inlineStr">
        <is>
          <t>-</t>
        </is>
      </c>
      <c r="AE7" s="38" t="inlineStr">
        <is>
          <t>-</t>
        </is>
      </c>
      <c r="AF7" s="38" t="inlineStr">
        <is>
          <t>-</t>
        </is>
      </c>
      <c r="AG7" s="39">
        <f>COUNTIF(B7:AF7, "P")</f>
        <v/>
      </c>
      <c r="AH7" s="15">
        <f>COUNTIF(B7:AF7, "CL")</f>
        <v/>
      </c>
      <c r="AI7" s="16">
        <f>COUNTIF(B7:AF7, "L")</f>
        <v/>
      </c>
      <c r="AJ7" s="17">
        <f>COUNTIF(B7:AF7, "WO")</f>
        <v/>
      </c>
      <c r="AK7" s="14">
        <f>COUNTIF(B7:AF7, "HO")</f>
        <v/>
      </c>
      <c r="AL7" s="18">
        <f>COUNTIF(B7:AF7, "CF")</f>
        <v/>
      </c>
      <c r="AM7" s="19">
        <f>AG7+AH7+AI7+AL7</f>
        <v/>
      </c>
      <c r="AN7" s="20">
        <f>IF(AM7&gt;0, AG7/AM7, 0)</f>
        <v/>
      </c>
    </row>
    <row r="8" ht="32" customHeight="1">
      <c r="A8" s="40" t="inlineStr">
        <is>
          <t>DR VARUN
Doctor</t>
        </is>
      </c>
      <c r="B8" s="36" t="inlineStr">
        <is>
          <t>P</t>
        </is>
      </c>
      <c r="C8" s="36" t="inlineStr">
        <is>
          <t>P</t>
        </is>
      </c>
      <c r="D8" s="36" t="inlineStr">
        <is>
          <t>P</t>
        </is>
      </c>
      <c r="E8" s="36" t="inlineStr">
        <is>
          <t>P</t>
        </is>
      </c>
      <c r="F8" s="37" t="inlineStr">
        <is>
          <t>WO</t>
        </is>
      </c>
      <c r="G8" s="36" t="inlineStr">
        <is>
          <t>P</t>
        </is>
      </c>
      <c r="H8" s="36" t="inlineStr">
        <is>
          <t>P</t>
        </is>
      </c>
      <c r="I8" s="36" t="inlineStr">
        <is>
          <t>P</t>
        </is>
      </c>
      <c r="J8" s="36" t="inlineStr">
        <is>
          <t>P</t>
        </is>
      </c>
      <c r="K8" s="36" t="inlineStr">
        <is>
          <t>P</t>
        </is>
      </c>
      <c r="L8" s="36" t="inlineStr">
        <is>
          <t>P</t>
        </is>
      </c>
      <c r="M8" s="37" t="inlineStr">
        <is>
          <t>WO</t>
        </is>
      </c>
      <c r="N8" s="36" t="inlineStr">
        <is>
          <t>P</t>
        </is>
      </c>
      <c r="O8" s="36" t="inlineStr">
        <is>
          <t>P</t>
        </is>
      </c>
      <c r="P8" s="36" t="inlineStr">
        <is>
          <t>P</t>
        </is>
      </c>
      <c r="Q8" s="36" t="inlineStr">
        <is>
          <t>P</t>
        </is>
      </c>
      <c r="R8" s="36" t="inlineStr">
        <is>
          <t>P</t>
        </is>
      </c>
      <c r="S8" s="36" t="inlineStr">
        <is>
          <t>P</t>
        </is>
      </c>
      <c r="T8" s="37" t="inlineStr">
        <is>
          <t>WO</t>
        </is>
      </c>
      <c r="U8" s="36" t="inlineStr">
        <is>
          <t>P</t>
        </is>
      </c>
      <c r="V8" s="36" t="inlineStr">
        <is>
          <t>P</t>
        </is>
      </c>
      <c r="W8" s="36" t="inlineStr">
        <is>
          <t>P</t>
        </is>
      </c>
      <c r="X8" s="36" t="inlineStr">
        <is>
          <t>P</t>
        </is>
      </c>
      <c r="Y8" s="36" t="inlineStr">
        <is>
          <t>P</t>
        </is>
      </c>
      <c r="Z8" s="36" t="inlineStr">
        <is>
          <t>P</t>
        </is>
      </c>
      <c r="AA8" s="37" t="inlineStr">
        <is>
          <t>WO</t>
        </is>
      </c>
      <c r="AB8" s="36" t="inlineStr">
        <is>
          <t>P</t>
        </is>
      </c>
      <c r="AC8" s="41" t="inlineStr">
        <is>
          <t>CL</t>
        </is>
      </c>
      <c r="AD8" s="38" t="inlineStr">
        <is>
          <t>-</t>
        </is>
      </c>
      <c r="AE8" s="38" t="inlineStr">
        <is>
          <t>-</t>
        </is>
      </c>
      <c r="AF8" s="38" t="inlineStr">
        <is>
          <t>-</t>
        </is>
      </c>
      <c r="AG8" s="39">
        <f>COUNTIF(B8:AF8, "P")</f>
        <v/>
      </c>
      <c r="AH8" s="15">
        <f>COUNTIF(B8:AF8, "CL")</f>
        <v/>
      </c>
      <c r="AI8" s="16">
        <f>COUNTIF(B8:AF8, "L")</f>
        <v/>
      </c>
      <c r="AJ8" s="17">
        <f>COUNTIF(B8:AF8, "WO")</f>
        <v/>
      </c>
      <c r="AK8" s="14">
        <f>COUNTIF(B8:AF8, "HO")</f>
        <v/>
      </c>
      <c r="AL8" s="18">
        <f>COUNTIF(B8:AF8, "CF")</f>
        <v/>
      </c>
      <c r="AM8" s="19">
        <f>AG8+AH8+AI8+AL8</f>
        <v/>
      </c>
      <c r="AN8" s="20">
        <f>IF(AM8&gt;0, AG8/AM8, 0)</f>
        <v/>
      </c>
    </row>
    <row r="9" ht="32" customHeight="1">
      <c r="A9" s="35" t="inlineStr">
        <is>
          <t>DR SUNITHA
Doctor</t>
        </is>
      </c>
      <c r="B9" s="36" t="inlineStr">
        <is>
          <t>P</t>
        </is>
      </c>
      <c r="C9" s="36" t="inlineStr">
        <is>
          <t>P</t>
        </is>
      </c>
      <c r="D9" s="36" t="inlineStr">
        <is>
          <t>P</t>
        </is>
      </c>
      <c r="E9" s="36" t="inlineStr">
        <is>
          <t>P</t>
        </is>
      </c>
      <c r="F9" s="37" t="inlineStr">
        <is>
          <t>WO</t>
        </is>
      </c>
      <c r="G9" s="36" t="inlineStr">
        <is>
          <t>P</t>
        </is>
      </c>
      <c r="H9" s="36" t="inlineStr">
        <is>
          <t>P</t>
        </is>
      </c>
      <c r="I9" s="36" t="inlineStr">
        <is>
          <t>P</t>
        </is>
      </c>
      <c r="J9" s="36" t="inlineStr">
        <is>
          <t>P</t>
        </is>
      </c>
      <c r="K9" s="36" t="inlineStr">
        <is>
          <t>P</t>
        </is>
      </c>
      <c r="L9" s="36" t="inlineStr">
        <is>
          <t>P</t>
        </is>
      </c>
      <c r="M9" s="37" t="inlineStr">
        <is>
          <t>WO</t>
        </is>
      </c>
      <c r="N9" s="36" t="inlineStr">
        <is>
          <t>P</t>
        </is>
      </c>
      <c r="O9" s="36" t="inlineStr">
        <is>
          <t>P</t>
        </is>
      </c>
      <c r="P9" s="36" t="inlineStr">
        <is>
          <t>P</t>
        </is>
      </c>
      <c r="Q9" s="41" t="inlineStr">
        <is>
          <t>CL</t>
        </is>
      </c>
      <c r="R9" s="42" t="inlineStr">
        <is>
          <t>L</t>
        </is>
      </c>
      <c r="S9" s="42" t="inlineStr">
        <is>
          <t>L</t>
        </is>
      </c>
      <c r="T9" s="37" t="inlineStr">
        <is>
          <t>WO</t>
        </is>
      </c>
      <c r="U9" s="42" t="inlineStr">
        <is>
          <t>L</t>
        </is>
      </c>
      <c r="V9" s="42" t="inlineStr">
        <is>
          <t>L</t>
        </is>
      </c>
      <c r="W9" s="42" t="inlineStr">
        <is>
          <t>L</t>
        </is>
      </c>
      <c r="X9" s="42" t="inlineStr">
        <is>
          <t>L</t>
        </is>
      </c>
      <c r="Y9" s="42" t="inlineStr">
        <is>
          <t>L</t>
        </is>
      </c>
      <c r="Z9" s="42" t="inlineStr">
        <is>
          <t>L</t>
        </is>
      </c>
      <c r="AA9" s="37" t="inlineStr">
        <is>
          <t>WO</t>
        </is>
      </c>
      <c r="AB9" s="42" t="inlineStr">
        <is>
          <t>L</t>
        </is>
      </c>
      <c r="AC9" s="42" t="inlineStr">
        <is>
          <t>L</t>
        </is>
      </c>
      <c r="AD9" s="38" t="inlineStr">
        <is>
          <t>-</t>
        </is>
      </c>
      <c r="AE9" s="38" t="inlineStr">
        <is>
          <t>-</t>
        </is>
      </c>
      <c r="AF9" s="38" t="inlineStr">
        <is>
          <t>-</t>
        </is>
      </c>
      <c r="AG9" s="39">
        <f>COUNTIF(B9:AF9, "P")</f>
        <v/>
      </c>
      <c r="AH9" s="15">
        <f>COUNTIF(B9:AF9, "CL")</f>
        <v/>
      </c>
      <c r="AI9" s="16">
        <f>COUNTIF(B9:AF9, "L")</f>
        <v/>
      </c>
      <c r="AJ9" s="17">
        <f>COUNTIF(B9:AF9, "WO")</f>
        <v/>
      </c>
      <c r="AK9" s="14">
        <f>COUNTIF(B9:AF9, "HO")</f>
        <v/>
      </c>
      <c r="AL9" s="18">
        <f>COUNTIF(B9:AF9, "CF")</f>
        <v/>
      </c>
      <c r="AM9" s="19">
        <f>AG9+AH9+AI9+AL9</f>
        <v/>
      </c>
      <c r="AN9" s="20">
        <f>IF(AM9&gt;0, AG9/AM9, 0)</f>
        <v/>
      </c>
    </row>
    <row r="10" ht="32" customHeight="1">
      <c r="A10" s="40" t="inlineStr">
        <is>
          <t>PHANI
Employee</t>
        </is>
      </c>
      <c r="B10" s="36" t="inlineStr">
        <is>
          <t>P</t>
        </is>
      </c>
      <c r="C10" s="36" t="inlineStr">
        <is>
          <t>P</t>
        </is>
      </c>
      <c r="D10" s="36" t="inlineStr">
        <is>
          <t>P</t>
        </is>
      </c>
      <c r="E10" s="36" t="inlineStr">
        <is>
          <t>P</t>
        </is>
      </c>
      <c r="F10" s="36" t="inlineStr">
        <is>
          <t>P</t>
        </is>
      </c>
      <c r="G10" s="36" t="inlineStr">
        <is>
          <t>P</t>
        </is>
      </c>
      <c r="H10" s="36" t="inlineStr">
        <is>
          <t>P</t>
        </is>
      </c>
      <c r="I10" s="37" t="inlineStr">
        <is>
          <t>WO</t>
        </is>
      </c>
      <c r="J10" s="36" t="inlineStr">
        <is>
          <t>P</t>
        </is>
      </c>
      <c r="K10" s="36" t="inlineStr">
        <is>
          <t>P</t>
        </is>
      </c>
      <c r="L10" s="36" t="inlineStr">
        <is>
          <t>P</t>
        </is>
      </c>
      <c r="M10" s="36" t="inlineStr">
        <is>
          <t>P</t>
        </is>
      </c>
      <c r="N10" s="36" t="inlineStr">
        <is>
          <t>P</t>
        </is>
      </c>
      <c r="O10" s="36" t="inlineStr">
        <is>
          <t>P</t>
        </is>
      </c>
      <c r="P10" s="36" t="inlineStr">
        <is>
          <t>P</t>
        </is>
      </c>
      <c r="Q10" s="36" t="inlineStr">
        <is>
          <t>P</t>
        </is>
      </c>
      <c r="R10" s="36" t="inlineStr">
        <is>
          <t>P</t>
        </is>
      </c>
      <c r="S10" s="36" t="inlineStr">
        <is>
          <t>P</t>
        </is>
      </c>
      <c r="T10" s="36" t="inlineStr">
        <is>
          <t>P</t>
        </is>
      </c>
      <c r="U10" s="36" t="inlineStr">
        <is>
          <t>P</t>
        </is>
      </c>
      <c r="V10" s="36" t="inlineStr">
        <is>
          <t>P</t>
        </is>
      </c>
      <c r="W10" s="36" t="inlineStr">
        <is>
          <t>P</t>
        </is>
      </c>
      <c r="X10" s="36" t="inlineStr">
        <is>
          <t>P</t>
        </is>
      </c>
      <c r="Y10" s="36" t="inlineStr">
        <is>
          <t>P</t>
        </is>
      </c>
      <c r="Z10" s="37" t="inlineStr">
        <is>
          <t>WO</t>
        </is>
      </c>
      <c r="AA10" s="36" t="inlineStr">
        <is>
          <t>P</t>
        </is>
      </c>
      <c r="AB10" s="36" t="inlineStr">
        <is>
          <t>P</t>
        </is>
      </c>
      <c r="AC10" s="36" t="inlineStr">
        <is>
          <t>P</t>
        </is>
      </c>
      <c r="AD10" s="38" t="inlineStr">
        <is>
          <t>-</t>
        </is>
      </c>
      <c r="AE10" s="38" t="inlineStr">
        <is>
          <t>-</t>
        </is>
      </c>
      <c r="AF10" s="38" t="inlineStr">
        <is>
          <t>-</t>
        </is>
      </c>
      <c r="AG10" s="39">
        <f>COUNTIF(B10:AF10, "P")</f>
        <v/>
      </c>
      <c r="AH10" s="15">
        <f>COUNTIF(B10:AF10, "CL")</f>
        <v/>
      </c>
      <c r="AI10" s="16">
        <f>COUNTIF(B10:AF10, "L")</f>
        <v/>
      </c>
      <c r="AJ10" s="17">
        <f>COUNTIF(B10:AF10, "WO")</f>
        <v/>
      </c>
      <c r="AK10" s="14">
        <f>COUNTIF(B10:AF10, "HO")</f>
        <v/>
      </c>
      <c r="AL10" s="18">
        <f>COUNTIF(B10:AF10, "CF")</f>
        <v/>
      </c>
      <c r="AM10" s="19">
        <f>AG10+AH10+AI10+AL10</f>
        <v/>
      </c>
      <c r="AN10" s="20">
        <f>IF(AM10&gt;0, AG10/AM10, 0)</f>
        <v/>
      </c>
    </row>
    <row r="11" ht="32" customHeight="1">
      <c r="A11" s="35" t="inlineStr">
        <is>
          <t>Ch Praveen Kumar
Employee</t>
        </is>
      </c>
      <c r="B11" s="36" t="inlineStr">
        <is>
          <t>P</t>
        </is>
      </c>
      <c r="C11" s="36" t="inlineStr">
        <is>
          <t>P</t>
        </is>
      </c>
      <c r="D11" s="36" t="inlineStr">
        <is>
          <t>P</t>
        </is>
      </c>
      <c r="E11" s="36" t="inlineStr">
        <is>
          <t>P</t>
        </is>
      </c>
      <c r="F11" s="37" t="inlineStr">
        <is>
          <t>WO</t>
        </is>
      </c>
      <c r="G11" s="36" t="inlineStr">
        <is>
          <t>P</t>
        </is>
      </c>
      <c r="H11" s="36" t="inlineStr">
        <is>
          <t>P</t>
        </is>
      </c>
      <c r="I11" s="36" t="inlineStr">
        <is>
          <t>P</t>
        </is>
      </c>
      <c r="J11" s="36" t="inlineStr">
        <is>
          <t>P</t>
        </is>
      </c>
      <c r="K11" s="36" t="inlineStr">
        <is>
          <t>P</t>
        </is>
      </c>
      <c r="L11" s="36" t="inlineStr">
        <is>
          <t>P</t>
        </is>
      </c>
      <c r="M11" s="37" t="inlineStr">
        <is>
          <t>WO</t>
        </is>
      </c>
      <c r="N11" s="36" t="inlineStr">
        <is>
          <t>P</t>
        </is>
      </c>
      <c r="O11" s="36" t="inlineStr">
        <is>
          <t>P</t>
        </is>
      </c>
      <c r="P11" s="36" t="inlineStr">
        <is>
          <t>P</t>
        </is>
      </c>
      <c r="Q11" s="36" t="inlineStr">
        <is>
          <t>P</t>
        </is>
      </c>
      <c r="R11" s="36" t="inlineStr">
        <is>
          <t>P</t>
        </is>
      </c>
      <c r="S11" s="36" t="inlineStr">
        <is>
          <t>P</t>
        </is>
      </c>
      <c r="T11" s="36" t="inlineStr">
        <is>
          <t>P</t>
        </is>
      </c>
      <c r="U11" s="36" t="inlineStr">
        <is>
          <t>P</t>
        </is>
      </c>
      <c r="V11" s="36" t="inlineStr">
        <is>
          <t>P</t>
        </is>
      </c>
      <c r="W11" s="36" t="inlineStr">
        <is>
          <t>P</t>
        </is>
      </c>
      <c r="X11" s="36" t="inlineStr">
        <is>
          <t>P</t>
        </is>
      </c>
      <c r="Y11" s="36" t="inlineStr">
        <is>
          <t>P</t>
        </is>
      </c>
      <c r="Z11" s="36" t="inlineStr">
        <is>
          <t>P</t>
        </is>
      </c>
      <c r="AA11" s="37" t="inlineStr">
        <is>
          <t>WO</t>
        </is>
      </c>
      <c r="AB11" s="36" t="inlineStr">
        <is>
          <t>P</t>
        </is>
      </c>
      <c r="AC11" s="36" t="inlineStr">
        <is>
          <t>P</t>
        </is>
      </c>
      <c r="AD11" s="38" t="inlineStr">
        <is>
          <t>-</t>
        </is>
      </c>
      <c r="AE11" s="38" t="inlineStr">
        <is>
          <t>-</t>
        </is>
      </c>
      <c r="AF11" s="38" t="inlineStr">
        <is>
          <t>-</t>
        </is>
      </c>
      <c r="AG11" s="39">
        <f>COUNTIF(B11:AF11, "P")</f>
        <v/>
      </c>
      <c r="AH11" s="15">
        <f>COUNTIF(B11:AF11, "CL")</f>
        <v/>
      </c>
      <c r="AI11" s="16">
        <f>COUNTIF(B11:AF11, "L")</f>
        <v/>
      </c>
      <c r="AJ11" s="17">
        <f>COUNTIF(B11:AF11, "WO")</f>
        <v/>
      </c>
      <c r="AK11" s="14">
        <f>COUNTIF(B11:AF11, "HO")</f>
        <v/>
      </c>
      <c r="AL11" s="18">
        <f>COUNTIF(B11:AF11, "CF")</f>
        <v/>
      </c>
      <c r="AM11" s="19">
        <f>AG11+AH11+AI11+AL11</f>
        <v/>
      </c>
      <c r="AN11" s="20">
        <f>IF(AM11&gt;0, AG11/AM11, 0)</f>
        <v/>
      </c>
    </row>
    <row r="12" ht="32" customHeight="1">
      <c r="A12" s="40" t="inlineStr">
        <is>
          <t>KAVITHA
Employee</t>
        </is>
      </c>
      <c r="B12" s="36" t="inlineStr">
        <is>
          <t>P</t>
        </is>
      </c>
      <c r="C12" s="36" t="inlineStr">
        <is>
          <t>P</t>
        </is>
      </c>
      <c r="D12" s="36" t="inlineStr">
        <is>
          <t>P</t>
        </is>
      </c>
      <c r="E12" s="36" t="inlineStr">
        <is>
          <t>P</t>
        </is>
      </c>
      <c r="F12" s="37" t="inlineStr">
        <is>
          <t>WO</t>
        </is>
      </c>
      <c r="G12" s="36" t="inlineStr">
        <is>
          <t>P</t>
        </is>
      </c>
      <c r="H12" s="36" t="inlineStr">
        <is>
          <t>P</t>
        </is>
      </c>
      <c r="I12" s="36" t="inlineStr">
        <is>
          <t>P</t>
        </is>
      </c>
      <c r="J12" s="36" t="inlineStr">
        <is>
          <t>P</t>
        </is>
      </c>
      <c r="K12" s="36" t="inlineStr">
        <is>
          <t>P</t>
        </is>
      </c>
      <c r="L12" s="36" t="inlineStr">
        <is>
          <t>P</t>
        </is>
      </c>
      <c r="M12" s="37" t="inlineStr">
        <is>
          <t>WO</t>
        </is>
      </c>
      <c r="N12" s="36" t="inlineStr">
        <is>
          <t>P</t>
        </is>
      </c>
      <c r="O12" s="36" t="inlineStr">
        <is>
          <t>P</t>
        </is>
      </c>
      <c r="P12" s="36" t="inlineStr">
        <is>
          <t>P</t>
        </is>
      </c>
      <c r="Q12" s="36" t="inlineStr">
        <is>
          <t>P</t>
        </is>
      </c>
      <c r="R12" s="36" t="inlineStr">
        <is>
          <t>P</t>
        </is>
      </c>
      <c r="S12" s="36" t="inlineStr">
        <is>
          <t>P</t>
        </is>
      </c>
      <c r="T12" s="36" t="inlineStr">
        <is>
          <t>P</t>
        </is>
      </c>
      <c r="U12" s="36" t="inlineStr">
        <is>
          <t>P</t>
        </is>
      </c>
      <c r="V12" s="36" t="inlineStr">
        <is>
          <t>P</t>
        </is>
      </c>
      <c r="W12" s="36" t="inlineStr">
        <is>
          <t>P</t>
        </is>
      </c>
      <c r="X12" s="36" t="inlineStr">
        <is>
          <t>P</t>
        </is>
      </c>
      <c r="Y12" s="36" t="inlineStr">
        <is>
          <t>P</t>
        </is>
      </c>
      <c r="Z12" s="36" t="inlineStr">
        <is>
          <t>P</t>
        </is>
      </c>
      <c r="AA12" s="37" t="inlineStr">
        <is>
          <t>WO</t>
        </is>
      </c>
      <c r="AB12" s="36" t="inlineStr">
        <is>
          <t>P</t>
        </is>
      </c>
      <c r="AC12" s="36" t="inlineStr">
        <is>
          <t>P</t>
        </is>
      </c>
      <c r="AD12" s="38" t="inlineStr">
        <is>
          <t>-</t>
        </is>
      </c>
      <c r="AE12" s="38" t="inlineStr">
        <is>
          <t>-</t>
        </is>
      </c>
      <c r="AF12" s="38" t="inlineStr">
        <is>
          <t>-</t>
        </is>
      </c>
      <c r="AG12" s="39">
        <f>COUNTIF(B12:AF12, "P")</f>
        <v/>
      </c>
      <c r="AH12" s="15">
        <f>COUNTIF(B12:AF12, "CL")</f>
        <v/>
      </c>
      <c r="AI12" s="16">
        <f>COUNTIF(B12:AF12, "L")</f>
        <v/>
      </c>
      <c r="AJ12" s="17">
        <f>COUNTIF(B12:AF12, "WO")</f>
        <v/>
      </c>
      <c r="AK12" s="14">
        <f>COUNTIF(B12:AF12, "HO")</f>
        <v/>
      </c>
      <c r="AL12" s="18">
        <f>COUNTIF(B12:AF12, "CF")</f>
        <v/>
      </c>
      <c r="AM12" s="19">
        <f>AG12+AH12+AI12+AL12</f>
        <v/>
      </c>
      <c r="AN12" s="20">
        <f>IF(AM12&gt;0, AG12/AM12, 0)</f>
        <v/>
      </c>
    </row>
    <row r="13" ht="32" customHeight="1">
      <c r="A13" s="35" t="inlineStr">
        <is>
          <t>LAXMINARAYANA
Employee</t>
        </is>
      </c>
      <c r="B13" s="36" t="inlineStr">
        <is>
          <t>P</t>
        </is>
      </c>
      <c r="C13" s="36" t="inlineStr">
        <is>
          <t>P</t>
        </is>
      </c>
      <c r="D13" s="36" t="inlineStr">
        <is>
          <t>P</t>
        </is>
      </c>
      <c r="E13" s="36" t="inlineStr">
        <is>
          <t>P</t>
        </is>
      </c>
      <c r="F13" s="37" t="inlineStr">
        <is>
          <t>WO</t>
        </is>
      </c>
      <c r="G13" s="36" t="inlineStr">
        <is>
          <t>P</t>
        </is>
      </c>
      <c r="H13" s="36" t="inlineStr">
        <is>
          <t>P</t>
        </is>
      </c>
      <c r="I13" s="36" t="inlineStr">
        <is>
          <t>P</t>
        </is>
      </c>
      <c r="J13" s="36" t="inlineStr">
        <is>
          <t>P</t>
        </is>
      </c>
      <c r="K13" s="36" t="inlineStr">
        <is>
          <t>P</t>
        </is>
      </c>
      <c r="L13" s="36" t="inlineStr">
        <is>
          <t>P</t>
        </is>
      </c>
      <c r="M13" s="37" t="inlineStr">
        <is>
          <t>WO</t>
        </is>
      </c>
      <c r="N13" s="36" t="inlineStr">
        <is>
          <t>P</t>
        </is>
      </c>
      <c r="O13" s="36" t="inlineStr">
        <is>
          <t>P</t>
        </is>
      </c>
      <c r="P13" s="36" t="inlineStr">
        <is>
          <t>P</t>
        </is>
      </c>
      <c r="Q13" s="36" t="inlineStr">
        <is>
          <t>P</t>
        </is>
      </c>
      <c r="R13" s="36" t="inlineStr">
        <is>
          <t>P</t>
        </is>
      </c>
      <c r="S13" s="36" t="inlineStr">
        <is>
          <t>P</t>
        </is>
      </c>
      <c r="T13" s="36" t="inlineStr">
        <is>
          <t>P</t>
        </is>
      </c>
      <c r="U13" s="36" t="inlineStr">
        <is>
          <t>P</t>
        </is>
      </c>
      <c r="V13" s="36" t="inlineStr">
        <is>
          <t>P</t>
        </is>
      </c>
      <c r="W13" s="36" t="inlineStr">
        <is>
          <t>P</t>
        </is>
      </c>
      <c r="X13" s="36" t="inlineStr">
        <is>
          <t>P</t>
        </is>
      </c>
      <c r="Y13" s="36" t="inlineStr">
        <is>
          <t>P</t>
        </is>
      </c>
      <c r="Z13" s="36" t="inlineStr">
        <is>
          <t>P</t>
        </is>
      </c>
      <c r="AA13" s="37" t="inlineStr">
        <is>
          <t>WO</t>
        </is>
      </c>
      <c r="AB13" s="36" t="inlineStr">
        <is>
          <t>P</t>
        </is>
      </c>
      <c r="AC13" s="36" t="inlineStr">
        <is>
          <t>P</t>
        </is>
      </c>
      <c r="AD13" s="38" t="inlineStr">
        <is>
          <t>-</t>
        </is>
      </c>
      <c r="AE13" s="38" t="inlineStr">
        <is>
          <t>-</t>
        </is>
      </c>
      <c r="AF13" s="38" t="inlineStr">
        <is>
          <t>-</t>
        </is>
      </c>
      <c r="AG13" s="39">
        <f>COUNTIF(B13:AF13, "P")</f>
        <v/>
      </c>
      <c r="AH13" s="15">
        <f>COUNTIF(B13:AF13, "CL")</f>
        <v/>
      </c>
      <c r="AI13" s="16">
        <f>COUNTIF(B13:AF13, "L")</f>
        <v/>
      </c>
      <c r="AJ13" s="17">
        <f>COUNTIF(B13:AF13, "WO")</f>
        <v/>
      </c>
      <c r="AK13" s="14">
        <f>COUNTIF(B13:AF13, "HO")</f>
        <v/>
      </c>
      <c r="AL13" s="18">
        <f>COUNTIF(B13:AF13, "CF")</f>
        <v/>
      </c>
      <c r="AM13" s="19">
        <f>AG13+AH13+AI13+AL13</f>
        <v/>
      </c>
      <c r="AN13" s="20">
        <f>IF(AM13&gt;0, AG13/AM13, 0)</f>
        <v/>
      </c>
    </row>
    <row r="14" ht="32" customHeight="1">
      <c r="A14" s="40" t="inlineStr">
        <is>
          <t>SIRISHA
Employee</t>
        </is>
      </c>
      <c r="B14" s="36" t="inlineStr">
        <is>
          <t>P</t>
        </is>
      </c>
      <c r="C14" s="36" t="inlineStr">
        <is>
          <t>P</t>
        </is>
      </c>
      <c r="D14" s="36" t="inlineStr">
        <is>
          <t>P</t>
        </is>
      </c>
      <c r="E14" s="36" t="inlineStr">
        <is>
          <t>P</t>
        </is>
      </c>
      <c r="F14" s="37" t="inlineStr">
        <is>
          <t>WO</t>
        </is>
      </c>
      <c r="G14" s="36" t="inlineStr">
        <is>
          <t>P</t>
        </is>
      </c>
      <c r="H14" s="36" t="inlineStr">
        <is>
          <t>P</t>
        </is>
      </c>
      <c r="I14" s="36" t="inlineStr">
        <is>
          <t>P</t>
        </is>
      </c>
      <c r="J14" s="36" t="inlineStr">
        <is>
          <t>P</t>
        </is>
      </c>
      <c r="K14" s="36" t="inlineStr">
        <is>
          <t>P</t>
        </is>
      </c>
      <c r="L14" s="36" t="inlineStr">
        <is>
          <t>P</t>
        </is>
      </c>
      <c r="M14" s="37" t="inlineStr">
        <is>
          <t>WO</t>
        </is>
      </c>
      <c r="N14" s="36" t="inlineStr">
        <is>
          <t>P</t>
        </is>
      </c>
      <c r="O14" s="36" t="inlineStr">
        <is>
          <t>P</t>
        </is>
      </c>
      <c r="P14" s="36" t="inlineStr">
        <is>
          <t>P</t>
        </is>
      </c>
      <c r="Q14" s="36" t="inlineStr">
        <is>
          <t>P</t>
        </is>
      </c>
      <c r="R14" s="36" t="inlineStr">
        <is>
          <t>P</t>
        </is>
      </c>
      <c r="S14" s="36" t="inlineStr">
        <is>
          <t>P</t>
        </is>
      </c>
      <c r="T14" s="36" t="inlineStr">
        <is>
          <t>P</t>
        </is>
      </c>
      <c r="U14" s="36" t="inlineStr">
        <is>
          <t>P</t>
        </is>
      </c>
      <c r="V14" s="36" t="inlineStr">
        <is>
          <t>P</t>
        </is>
      </c>
      <c r="W14" s="36" t="inlineStr">
        <is>
          <t>P</t>
        </is>
      </c>
      <c r="X14" s="36" t="inlineStr">
        <is>
          <t>P</t>
        </is>
      </c>
      <c r="Y14" s="36" t="inlineStr">
        <is>
          <t>P</t>
        </is>
      </c>
      <c r="Z14" s="36" t="inlineStr">
        <is>
          <t>P</t>
        </is>
      </c>
      <c r="AA14" s="37" t="inlineStr">
        <is>
          <t>WO</t>
        </is>
      </c>
      <c r="AB14" s="36" t="inlineStr">
        <is>
          <t>P</t>
        </is>
      </c>
      <c r="AC14" s="36" t="inlineStr">
        <is>
          <t>P</t>
        </is>
      </c>
      <c r="AD14" s="38" t="inlineStr">
        <is>
          <t>-</t>
        </is>
      </c>
      <c r="AE14" s="38" t="inlineStr">
        <is>
          <t>-</t>
        </is>
      </c>
      <c r="AF14" s="38" t="inlineStr">
        <is>
          <t>-</t>
        </is>
      </c>
      <c r="AG14" s="39">
        <f>COUNTIF(B14:AF14, "P")</f>
        <v/>
      </c>
      <c r="AH14" s="15">
        <f>COUNTIF(B14:AF14, "CL")</f>
        <v/>
      </c>
      <c r="AI14" s="16">
        <f>COUNTIF(B14:AF14, "L")</f>
        <v/>
      </c>
      <c r="AJ14" s="17">
        <f>COUNTIF(B14:AF14, "WO")</f>
        <v/>
      </c>
      <c r="AK14" s="14">
        <f>COUNTIF(B14:AF14, "HO")</f>
        <v/>
      </c>
      <c r="AL14" s="18">
        <f>COUNTIF(B14:AF14, "CF")</f>
        <v/>
      </c>
      <c r="AM14" s="19">
        <f>AG14+AH14+AI14+AL14</f>
        <v/>
      </c>
      <c r="AN14" s="20">
        <f>IF(AM14&gt;0, AG14/AM14, 0)</f>
        <v/>
      </c>
    </row>
    <row r="15" ht="32" customHeight="1">
      <c r="A15" s="35" t="inlineStr">
        <is>
          <t>MANI
Employee</t>
        </is>
      </c>
      <c r="B15" s="36" t="inlineStr">
        <is>
          <t>P</t>
        </is>
      </c>
      <c r="C15" s="36" t="inlineStr">
        <is>
          <t>P</t>
        </is>
      </c>
      <c r="D15" s="36" t="inlineStr">
        <is>
          <t>P</t>
        </is>
      </c>
      <c r="E15" s="36" t="inlineStr">
        <is>
          <t>P</t>
        </is>
      </c>
      <c r="F15" s="37" t="inlineStr">
        <is>
          <t>WO</t>
        </is>
      </c>
      <c r="G15" s="36" t="inlineStr">
        <is>
          <t>P</t>
        </is>
      </c>
      <c r="H15" s="36" t="inlineStr">
        <is>
          <t>P</t>
        </is>
      </c>
      <c r="I15" s="36" t="inlineStr">
        <is>
          <t>P</t>
        </is>
      </c>
      <c r="J15" s="36" t="inlineStr">
        <is>
          <t>P</t>
        </is>
      </c>
      <c r="K15" s="36" t="inlineStr">
        <is>
          <t>P</t>
        </is>
      </c>
      <c r="L15" s="36" t="inlineStr">
        <is>
          <t>P</t>
        </is>
      </c>
      <c r="M15" s="37" t="inlineStr">
        <is>
          <t>WO</t>
        </is>
      </c>
      <c r="N15" s="36" t="inlineStr">
        <is>
          <t>P</t>
        </is>
      </c>
      <c r="O15" s="36" t="inlineStr">
        <is>
          <t>P</t>
        </is>
      </c>
      <c r="P15" s="36" t="inlineStr">
        <is>
          <t>P</t>
        </is>
      </c>
      <c r="Q15" s="36" t="inlineStr">
        <is>
          <t>P</t>
        </is>
      </c>
      <c r="R15" s="36" t="inlineStr">
        <is>
          <t>P</t>
        </is>
      </c>
      <c r="S15" s="36" t="inlineStr">
        <is>
          <t>P</t>
        </is>
      </c>
      <c r="T15" s="37" t="inlineStr">
        <is>
          <t>WO</t>
        </is>
      </c>
      <c r="U15" s="36" t="inlineStr">
        <is>
          <t>P</t>
        </is>
      </c>
      <c r="V15" s="36" t="inlineStr">
        <is>
          <t>P</t>
        </is>
      </c>
      <c r="W15" s="36" t="inlineStr">
        <is>
          <t>P</t>
        </is>
      </c>
      <c r="X15" s="36" t="inlineStr">
        <is>
          <t>P</t>
        </is>
      </c>
      <c r="Y15" s="36" t="inlineStr">
        <is>
          <t>P</t>
        </is>
      </c>
      <c r="Z15" s="36" t="inlineStr">
        <is>
          <t>P</t>
        </is>
      </c>
      <c r="AA15" s="37" t="inlineStr">
        <is>
          <t>WO</t>
        </is>
      </c>
      <c r="AB15" s="36" t="inlineStr">
        <is>
          <t>P</t>
        </is>
      </c>
      <c r="AC15" s="36" t="inlineStr">
        <is>
          <t>P</t>
        </is>
      </c>
      <c r="AD15" s="38" t="inlineStr">
        <is>
          <t>-</t>
        </is>
      </c>
      <c r="AE15" s="38" t="inlineStr">
        <is>
          <t>-</t>
        </is>
      </c>
      <c r="AF15" s="38" t="inlineStr">
        <is>
          <t>-</t>
        </is>
      </c>
      <c r="AG15" s="39">
        <f>COUNTIF(B15:AF15, "P")</f>
        <v/>
      </c>
      <c r="AH15" s="15">
        <f>COUNTIF(B15:AF15, "CL")</f>
        <v/>
      </c>
      <c r="AI15" s="16">
        <f>COUNTIF(B15:AF15, "L")</f>
        <v/>
      </c>
      <c r="AJ15" s="17">
        <f>COUNTIF(B15:AF15, "WO")</f>
        <v/>
      </c>
      <c r="AK15" s="14">
        <f>COUNTIF(B15:AF15, "HO")</f>
        <v/>
      </c>
      <c r="AL15" s="18">
        <f>COUNTIF(B15:AF15, "CF")</f>
        <v/>
      </c>
      <c r="AM15" s="19">
        <f>AG15+AH15+AI15+AL15</f>
        <v/>
      </c>
      <c r="AN15" s="20">
        <f>IF(AM15&gt;0, AG15/AM15, 0)</f>
        <v/>
      </c>
    </row>
    <row r="16" ht="32" customHeight="1">
      <c r="A16" s="40" t="inlineStr">
        <is>
          <t>SAI KUMAR
Employee</t>
        </is>
      </c>
      <c r="B16" s="38" t="inlineStr">
        <is>
          <t>-</t>
        </is>
      </c>
      <c r="C16" s="38" t="inlineStr">
        <is>
          <t>-</t>
        </is>
      </c>
      <c r="D16" s="38" t="inlineStr">
        <is>
          <t>-</t>
        </is>
      </c>
      <c r="E16" s="38" t="inlineStr">
        <is>
          <t>-</t>
        </is>
      </c>
      <c r="F16" s="38" t="inlineStr">
        <is>
          <t>-</t>
        </is>
      </c>
      <c r="G16" s="38" t="inlineStr">
        <is>
          <t>-</t>
        </is>
      </c>
      <c r="H16" s="38" t="inlineStr">
        <is>
          <t>-</t>
        </is>
      </c>
      <c r="I16" s="38" t="inlineStr">
        <is>
          <t>-</t>
        </is>
      </c>
      <c r="J16" s="38" t="inlineStr">
        <is>
          <t>-</t>
        </is>
      </c>
      <c r="K16" s="38" t="inlineStr">
        <is>
          <t>-</t>
        </is>
      </c>
      <c r="L16" s="36" t="inlineStr">
        <is>
          <t>P</t>
        </is>
      </c>
      <c r="M16" s="37" t="inlineStr">
        <is>
          <t>WO</t>
        </is>
      </c>
      <c r="N16" s="36" t="inlineStr">
        <is>
          <t>P</t>
        </is>
      </c>
      <c r="O16" s="36" t="inlineStr">
        <is>
          <t>P</t>
        </is>
      </c>
      <c r="P16" s="36" t="inlineStr">
        <is>
          <t>P</t>
        </is>
      </c>
      <c r="Q16" s="36" t="inlineStr">
        <is>
          <t>P</t>
        </is>
      </c>
      <c r="R16" s="36" t="inlineStr">
        <is>
          <t>P</t>
        </is>
      </c>
      <c r="S16" s="36" t="inlineStr">
        <is>
          <t>P</t>
        </is>
      </c>
      <c r="T16" s="37" t="inlineStr">
        <is>
          <t>WO</t>
        </is>
      </c>
      <c r="U16" s="36" t="inlineStr">
        <is>
          <t>P</t>
        </is>
      </c>
      <c r="V16" s="36" t="inlineStr">
        <is>
          <t>P</t>
        </is>
      </c>
      <c r="W16" s="36" t="inlineStr">
        <is>
          <t>P</t>
        </is>
      </c>
      <c r="X16" s="36" t="inlineStr">
        <is>
          <t>P</t>
        </is>
      </c>
      <c r="Y16" s="36" t="inlineStr">
        <is>
          <t>P</t>
        </is>
      </c>
      <c r="Z16" s="36" t="inlineStr">
        <is>
          <t>P</t>
        </is>
      </c>
      <c r="AA16" s="37" t="inlineStr">
        <is>
          <t>WO</t>
        </is>
      </c>
      <c r="AB16" s="36" t="inlineStr">
        <is>
          <t>P</t>
        </is>
      </c>
      <c r="AC16" s="36" t="inlineStr">
        <is>
          <t>P</t>
        </is>
      </c>
      <c r="AD16" s="38" t="inlineStr">
        <is>
          <t>-</t>
        </is>
      </c>
      <c r="AE16" s="38" t="inlineStr">
        <is>
          <t>-</t>
        </is>
      </c>
      <c r="AF16" s="38" t="inlineStr">
        <is>
          <t>-</t>
        </is>
      </c>
      <c r="AG16" s="39">
        <f>COUNTIF(B16:AF16, "P")</f>
        <v/>
      </c>
      <c r="AH16" s="15">
        <f>COUNTIF(B16:AF16, "CL")</f>
        <v/>
      </c>
      <c r="AI16" s="16">
        <f>COUNTIF(B16:AF16, "L")</f>
        <v/>
      </c>
      <c r="AJ16" s="17">
        <f>COUNTIF(B16:AF16, "WO")</f>
        <v/>
      </c>
      <c r="AK16" s="14">
        <f>COUNTIF(B16:AF16, "HO")</f>
        <v/>
      </c>
      <c r="AL16" s="18">
        <f>COUNTIF(B16:AF16, "CF")</f>
        <v/>
      </c>
      <c r="AM16" s="19">
        <f>AG16+AH16+AI16+AL16</f>
        <v/>
      </c>
      <c r="AN16" s="20">
        <f>IF(AM16&gt;0, AG16/AM16, 0)</f>
        <v/>
      </c>
    </row>
    <row r="17" ht="32" customHeight="1">
      <c r="A17" s="35" t="inlineStr">
        <is>
          <t>VAISHNAVI
Employee</t>
        </is>
      </c>
      <c r="B17" s="38" t="inlineStr">
        <is>
          <t>-</t>
        </is>
      </c>
      <c r="C17" s="38" t="inlineStr">
        <is>
          <t>-</t>
        </is>
      </c>
      <c r="D17" s="38" t="inlineStr">
        <is>
          <t>-</t>
        </is>
      </c>
      <c r="E17" s="38" t="inlineStr">
        <is>
          <t>-</t>
        </is>
      </c>
      <c r="F17" s="38" t="inlineStr">
        <is>
          <t>-</t>
        </is>
      </c>
      <c r="G17" s="38" t="inlineStr">
        <is>
          <t>-</t>
        </is>
      </c>
      <c r="H17" s="38" t="inlineStr">
        <is>
          <t>-</t>
        </is>
      </c>
      <c r="I17" s="36" t="inlineStr">
        <is>
          <t>P</t>
        </is>
      </c>
      <c r="J17" s="36" t="inlineStr">
        <is>
          <t>P</t>
        </is>
      </c>
      <c r="K17" s="36" t="inlineStr">
        <is>
          <t>P</t>
        </is>
      </c>
      <c r="L17" s="36" t="inlineStr">
        <is>
          <t>P</t>
        </is>
      </c>
      <c r="M17" s="37" t="inlineStr">
        <is>
          <t>WO</t>
        </is>
      </c>
      <c r="N17" s="36" t="inlineStr">
        <is>
          <t>P</t>
        </is>
      </c>
      <c r="O17" s="36" t="inlineStr">
        <is>
          <t>P</t>
        </is>
      </c>
      <c r="P17" s="36" t="inlineStr">
        <is>
          <t>P</t>
        </is>
      </c>
      <c r="Q17" s="36" t="inlineStr">
        <is>
          <t>P</t>
        </is>
      </c>
      <c r="R17" s="36" t="inlineStr">
        <is>
          <t>P</t>
        </is>
      </c>
      <c r="S17" s="36" t="inlineStr">
        <is>
          <t>P</t>
        </is>
      </c>
      <c r="T17" s="37" t="inlineStr">
        <is>
          <t>WO</t>
        </is>
      </c>
      <c r="U17" s="36" t="inlineStr">
        <is>
          <t>P</t>
        </is>
      </c>
      <c r="V17" s="36" t="inlineStr">
        <is>
          <t>P</t>
        </is>
      </c>
      <c r="W17" s="36" t="inlineStr">
        <is>
          <t>P</t>
        </is>
      </c>
      <c r="X17" s="36" t="inlineStr">
        <is>
          <t>P</t>
        </is>
      </c>
      <c r="Y17" s="36" t="inlineStr">
        <is>
          <t>P</t>
        </is>
      </c>
      <c r="Z17" s="36" t="inlineStr">
        <is>
          <t>P</t>
        </is>
      </c>
      <c r="AA17" s="37" t="inlineStr">
        <is>
          <t>WO</t>
        </is>
      </c>
      <c r="AB17" s="36" t="inlineStr">
        <is>
          <t>P</t>
        </is>
      </c>
      <c r="AC17" s="41" t="inlineStr">
        <is>
          <t>CL</t>
        </is>
      </c>
      <c r="AD17" s="38" t="inlineStr">
        <is>
          <t>-</t>
        </is>
      </c>
      <c r="AE17" s="38" t="inlineStr">
        <is>
          <t>-</t>
        </is>
      </c>
      <c r="AF17" s="38" t="inlineStr">
        <is>
          <t>-</t>
        </is>
      </c>
      <c r="AG17" s="39">
        <f>COUNTIF(B17:AF17, "P")</f>
        <v/>
      </c>
      <c r="AH17" s="15">
        <f>COUNTIF(B17:AF17, "CL")</f>
        <v/>
      </c>
      <c r="AI17" s="16">
        <f>COUNTIF(B17:AF17, "L")</f>
        <v/>
      </c>
      <c r="AJ17" s="17">
        <f>COUNTIF(B17:AF17, "WO")</f>
        <v/>
      </c>
      <c r="AK17" s="14">
        <f>COUNTIF(B17:AF17, "HO")</f>
        <v/>
      </c>
      <c r="AL17" s="18">
        <f>COUNTIF(B17:AF17, "CF")</f>
        <v/>
      </c>
      <c r="AM17" s="19">
        <f>AG17+AH17+AI17+AL17</f>
        <v/>
      </c>
      <c r="AN17" s="20">
        <f>IF(AM17&gt;0, AG17/AM17, 0)</f>
        <v/>
      </c>
    </row>
    <row r="18" ht="32" customHeight="1">
      <c r="A18" s="40" t="inlineStr">
        <is>
          <t>CHANIKYA
Employee</t>
        </is>
      </c>
      <c r="B18" s="36" t="inlineStr">
        <is>
          <t>P</t>
        </is>
      </c>
      <c r="C18" s="36" t="inlineStr">
        <is>
          <t>P</t>
        </is>
      </c>
      <c r="D18" s="36" t="inlineStr">
        <is>
          <t>P</t>
        </is>
      </c>
      <c r="E18" s="36" t="inlineStr">
        <is>
          <t>P</t>
        </is>
      </c>
      <c r="F18" s="37" t="inlineStr">
        <is>
          <t>WO</t>
        </is>
      </c>
      <c r="G18" s="36" t="inlineStr">
        <is>
          <t>P</t>
        </is>
      </c>
      <c r="H18" s="36" t="inlineStr">
        <is>
          <t>P</t>
        </is>
      </c>
      <c r="I18" s="36" t="inlineStr">
        <is>
          <t>P</t>
        </is>
      </c>
      <c r="J18" s="36" t="inlineStr">
        <is>
          <t>P</t>
        </is>
      </c>
      <c r="K18" s="36" t="inlineStr">
        <is>
          <t>P</t>
        </is>
      </c>
      <c r="L18" s="36" t="inlineStr">
        <is>
          <t>P</t>
        </is>
      </c>
      <c r="M18" s="37" t="inlineStr">
        <is>
          <t>WO</t>
        </is>
      </c>
      <c r="N18" s="41" t="inlineStr">
        <is>
          <t>CL</t>
        </is>
      </c>
      <c r="O18" s="42" t="inlineStr">
        <is>
          <t>L</t>
        </is>
      </c>
      <c r="P18" s="36" t="inlineStr">
        <is>
          <t>P</t>
        </is>
      </c>
      <c r="Q18" s="36" t="inlineStr">
        <is>
          <t>P</t>
        </is>
      </c>
      <c r="R18" s="36" t="inlineStr">
        <is>
          <t>P</t>
        </is>
      </c>
      <c r="S18" s="36" t="inlineStr">
        <is>
          <t>P</t>
        </is>
      </c>
      <c r="T18" s="37" t="inlineStr">
        <is>
          <t>WO</t>
        </is>
      </c>
      <c r="U18" s="36" t="inlineStr">
        <is>
          <t>P</t>
        </is>
      </c>
      <c r="V18" s="36" t="inlineStr">
        <is>
          <t>P</t>
        </is>
      </c>
      <c r="W18" s="36" t="inlineStr">
        <is>
          <t>P</t>
        </is>
      </c>
      <c r="X18" s="36" t="inlineStr">
        <is>
          <t>P</t>
        </is>
      </c>
      <c r="Y18" s="36" t="inlineStr">
        <is>
          <t>P</t>
        </is>
      </c>
      <c r="Z18" s="36" t="inlineStr">
        <is>
          <t>P</t>
        </is>
      </c>
      <c r="AA18" s="37" t="inlineStr">
        <is>
          <t>WO</t>
        </is>
      </c>
      <c r="AB18" s="36" t="inlineStr">
        <is>
          <t>P</t>
        </is>
      </c>
      <c r="AC18" s="36" t="inlineStr">
        <is>
          <t>P</t>
        </is>
      </c>
      <c r="AD18" s="38" t="inlineStr">
        <is>
          <t>-</t>
        </is>
      </c>
      <c r="AE18" s="38" t="inlineStr">
        <is>
          <t>-</t>
        </is>
      </c>
      <c r="AF18" s="38" t="inlineStr">
        <is>
          <t>-</t>
        </is>
      </c>
      <c r="AG18" s="39">
        <f>COUNTIF(B18:AF18, "P")</f>
        <v/>
      </c>
      <c r="AH18" s="15">
        <f>COUNTIF(B18:AF18, "CL")</f>
        <v/>
      </c>
      <c r="AI18" s="16">
        <f>COUNTIF(B18:AF18, "L")</f>
        <v/>
      </c>
      <c r="AJ18" s="17">
        <f>COUNTIF(B18:AF18, "WO")</f>
        <v/>
      </c>
      <c r="AK18" s="14">
        <f>COUNTIF(B18:AF18, "HO")</f>
        <v/>
      </c>
      <c r="AL18" s="18">
        <f>COUNTIF(B18:AF18, "CF")</f>
        <v/>
      </c>
      <c r="AM18" s="19">
        <f>AG18+AH18+AI18+AL18</f>
        <v/>
      </c>
      <c r="AN18" s="20">
        <f>IF(AM18&gt;0, AG18/AM18, 0)</f>
        <v/>
      </c>
    </row>
    <row r="19" ht="32" customHeight="1">
      <c r="A19" s="35" t="inlineStr">
        <is>
          <t>VAIDEHI
Employee</t>
        </is>
      </c>
      <c r="B19" s="36" t="inlineStr">
        <is>
          <t>P</t>
        </is>
      </c>
      <c r="C19" s="36" t="inlineStr">
        <is>
          <t>P</t>
        </is>
      </c>
      <c r="D19" s="36" t="inlineStr">
        <is>
          <t>P</t>
        </is>
      </c>
      <c r="E19" s="36" t="inlineStr">
        <is>
          <t>P</t>
        </is>
      </c>
      <c r="F19" s="37" t="inlineStr">
        <is>
          <t>WO</t>
        </is>
      </c>
      <c r="G19" s="36" t="inlineStr">
        <is>
          <t>P</t>
        </is>
      </c>
      <c r="H19" s="36" t="inlineStr">
        <is>
          <t>P</t>
        </is>
      </c>
      <c r="I19" s="36" t="inlineStr">
        <is>
          <t>P</t>
        </is>
      </c>
      <c r="J19" s="36" t="inlineStr">
        <is>
          <t>P</t>
        </is>
      </c>
      <c r="K19" s="36" t="inlineStr">
        <is>
          <t>P</t>
        </is>
      </c>
      <c r="L19" s="41" t="inlineStr">
        <is>
          <t>CL</t>
        </is>
      </c>
      <c r="M19" s="37" t="inlineStr">
        <is>
          <t>WO</t>
        </is>
      </c>
      <c r="N19" s="36" t="inlineStr">
        <is>
          <t>P</t>
        </is>
      </c>
      <c r="O19" s="36" t="inlineStr">
        <is>
          <t>P</t>
        </is>
      </c>
      <c r="P19" s="36" t="inlineStr">
        <is>
          <t>P</t>
        </is>
      </c>
      <c r="Q19" s="36" t="inlineStr">
        <is>
          <t>P</t>
        </is>
      </c>
      <c r="R19" s="36" t="inlineStr">
        <is>
          <t>P</t>
        </is>
      </c>
      <c r="S19" s="36" t="inlineStr">
        <is>
          <t>P</t>
        </is>
      </c>
      <c r="T19" s="37" t="inlineStr">
        <is>
          <t>WO</t>
        </is>
      </c>
      <c r="U19" s="36" t="inlineStr">
        <is>
          <t>P</t>
        </is>
      </c>
      <c r="V19" s="42" t="inlineStr">
        <is>
          <t>L</t>
        </is>
      </c>
      <c r="W19" s="36" t="inlineStr">
        <is>
          <t>P</t>
        </is>
      </c>
      <c r="X19" s="36" t="inlineStr">
        <is>
          <t>P</t>
        </is>
      </c>
      <c r="Y19" s="36" t="inlineStr">
        <is>
          <t>P</t>
        </is>
      </c>
      <c r="Z19" s="36" t="inlineStr">
        <is>
          <t>P</t>
        </is>
      </c>
      <c r="AA19" s="37" t="inlineStr">
        <is>
          <t>WO</t>
        </is>
      </c>
      <c r="AB19" s="36" t="inlineStr">
        <is>
          <t>P</t>
        </is>
      </c>
      <c r="AC19" s="36" t="inlineStr">
        <is>
          <t>P</t>
        </is>
      </c>
      <c r="AD19" s="38" t="inlineStr">
        <is>
          <t>-</t>
        </is>
      </c>
      <c r="AE19" s="38" t="inlineStr">
        <is>
          <t>-</t>
        </is>
      </c>
      <c r="AF19" s="38" t="inlineStr">
        <is>
          <t>-</t>
        </is>
      </c>
      <c r="AG19" s="39">
        <f>COUNTIF(B19:AF19, "P")</f>
        <v/>
      </c>
      <c r="AH19" s="15">
        <f>COUNTIF(B19:AF19, "CL")</f>
        <v/>
      </c>
      <c r="AI19" s="16">
        <f>COUNTIF(B19:AF19, "L")</f>
        <v/>
      </c>
      <c r="AJ19" s="17">
        <f>COUNTIF(B19:AF19, "WO")</f>
        <v/>
      </c>
      <c r="AK19" s="14">
        <f>COUNTIF(B19:AF19, "HO")</f>
        <v/>
      </c>
      <c r="AL19" s="18">
        <f>COUNTIF(B19:AF19, "CF")</f>
        <v/>
      </c>
      <c r="AM19" s="19">
        <f>AG19+AH19+AI19+AL19</f>
        <v/>
      </c>
      <c r="AN19" s="20">
        <f>IF(AM19&gt;0, AG19/AM19, 0)</f>
        <v/>
      </c>
    </row>
    <row r="20" ht="32" customHeight="1">
      <c r="A20" s="40" t="inlineStr">
        <is>
          <t>NEELIMA
Employee</t>
        </is>
      </c>
      <c r="B20" s="43" t="inlineStr">
        <is>
          <t>CF</t>
        </is>
      </c>
      <c r="C20" s="43" t="inlineStr">
        <is>
          <t>CF</t>
        </is>
      </c>
      <c r="D20" s="36" t="inlineStr">
        <is>
          <t>P</t>
        </is>
      </c>
      <c r="E20" s="36" t="inlineStr">
        <is>
          <t>P</t>
        </is>
      </c>
      <c r="F20" s="37" t="inlineStr">
        <is>
          <t>WO</t>
        </is>
      </c>
      <c r="G20" s="36" t="inlineStr">
        <is>
          <t>P</t>
        </is>
      </c>
      <c r="H20" s="36" t="inlineStr">
        <is>
          <t>P</t>
        </is>
      </c>
      <c r="I20" s="36" t="inlineStr">
        <is>
          <t>P</t>
        </is>
      </c>
      <c r="J20" s="36" t="inlineStr">
        <is>
          <t>P</t>
        </is>
      </c>
      <c r="K20" s="36" t="inlineStr">
        <is>
          <t>P</t>
        </is>
      </c>
      <c r="L20" s="36" t="inlineStr">
        <is>
          <t>P</t>
        </is>
      </c>
      <c r="M20" s="37" t="inlineStr">
        <is>
          <t>WO</t>
        </is>
      </c>
      <c r="N20" s="36" t="inlineStr">
        <is>
          <t>P</t>
        </is>
      </c>
      <c r="O20" s="36" t="inlineStr">
        <is>
          <t>P</t>
        </is>
      </c>
      <c r="P20" s="36" t="inlineStr">
        <is>
          <t>P</t>
        </is>
      </c>
      <c r="Q20" s="36" t="inlineStr">
        <is>
          <t>P</t>
        </is>
      </c>
      <c r="R20" s="36" t="inlineStr">
        <is>
          <t>P</t>
        </is>
      </c>
      <c r="S20" s="36" t="inlineStr">
        <is>
          <t>P</t>
        </is>
      </c>
      <c r="T20" s="37" t="inlineStr">
        <is>
          <t>WO</t>
        </is>
      </c>
      <c r="U20" s="36" t="inlineStr">
        <is>
          <t>P</t>
        </is>
      </c>
      <c r="V20" s="36" t="inlineStr">
        <is>
          <t>P</t>
        </is>
      </c>
      <c r="W20" s="36" t="inlineStr">
        <is>
          <t>P</t>
        </is>
      </c>
      <c r="X20" s="36" t="inlineStr">
        <is>
          <t>P</t>
        </is>
      </c>
      <c r="Y20" s="36" t="inlineStr">
        <is>
          <t>P</t>
        </is>
      </c>
      <c r="Z20" s="41" t="inlineStr">
        <is>
          <t>CL</t>
        </is>
      </c>
      <c r="AA20" s="37" t="inlineStr">
        <is>
          <t>WO</t>
        </is>
      </c>
      <c r="AB20" s="36" t="inlineStr">
        <is>
          <t>P</t>
        </is>
      </c>
      <c r="AC20" s="36" t="inlineStr">
        <is>
          <t>P</t>
        </is>
      </c>
      <c r="AD20" s="38" t="inlineStr">
        <is>
          <t>-</t>
        </is>
      </c>
      <c r="AE20" s="38" t="inlineStr">
        <is>
          <t>-</t>
        </is>
      </c>
      <c r="AF20" s="38" t="inlineStr">
        <is>
          <t>-</t>
        </is>
      </c>
      <c r="AG20" s="39">
        <f>COUNTIF(B20:AF20, "P")</f>
        <v/>
      </c>
      <c r="AH20" s="15">
        <f>COUNTIF(B20:AF20, "CL")</f>
        <v/>
      </c>
      <c r="AI20" s="16">
        <f>COUNTIF(B20:AF20, "L")</f>
        <v/>
      </c>
      <c r="AJ20" s="17">
        <f>COUNTIF(B20:AF20, "WO")</f>
        <v/>
      </c>
      <c r="AK20" s="14">
        <f>COUNTIF(B20:AF20, "HO")</f>
        <v/>
      </c>
      <c r="AL20" s="18">
        <f>COUNTIF(B20:AF20, "CF")</f>
        <v/>
      </c>
      <c r="AM20" s="19">
        <f>AG20+AH20+AI20+AL20</f>
        <v/>
      </c>
      <c r="AN20" s="20">
        <f>IF(AM20&gt;0, AG20/AM20, 0)</f>
        <v/>
      </c>
    </row>
    <row r="21" ht="32" customHeight="1">
      <c r="A21" s="35" t="inlineStr">
        <is>
          <t>RAMESH
Employee</t>
        </is>
      </c>
      <c r="B21" s="36" t="inlineStr">
        <is>
          <t>P</t>
        </is>
      </c>
      <c r="C21" s="36" t="inlineStr">
        <is>
          <t>P</t>
        </is>
      </c>
      <c r="D21" s="36" t="inlineStr">
        <is>
          <t>P</t>
        </is>
      </c>
      <c r="E21" s="36" t="inlineStr">
        <is>
          <t>P</t>
        </is>
      </c>
      <c r="F21" s="37" t="inlineStr">
        <is>
          <t>WO</t>
        </is>
      </c>
      <c r="G21" s="36" t="inlineStr">
        <is>
          <t>P</t>
        </is>
      </c>
      <c r="H21" s="36" t="inlineStr">
        <is>
          <t>P</t>
        </is>
      </c>
      <c r="I21" s="36" t="inlineStr">
        <is>
          <t>P</t>
        </is>
      </c>
      <c r="J21" s="36" t="inlineStr">
        <is>
          <t>P</t>
        </is>
      </c>
      <c r="K21" s="36" t="inlineStr">
        <is>
          <t>P</t>
        </is>
      </c>
      <c r="L21" s="36" t="inlineStr">
        <is>
          <t>P</t>
        </is>
      </c>
      <c r="M21" s="37" t="inlineStr">
        <is>
          <t>WO</t>
        </is>
      </c>
      <c r="N21" s="36" t="inlineStr">
        <is>
          <t>P</t>
        </is>
      </c>
      <c r="O21" s="36" t="inlineStr">
        <is>
          <t>P</t>
        </is>
      </c>
      <c r="P21" s="36" t="inlineStr">
        <is>
          <t>P</t>
        </is>
      </c>
      <c r="Q21" s="36" t="inlineStr">
        <is>
          <t>P</t>
        </is>
      </c>
      <c r="R21" s="36" t="inlineStr">
        <is>
          <t>P</t>
        </is>
      </c>
      <c r="S21" s="36" t="inlineStr">
        <is>
          <t>P</t>
        </is>
      </c>
      <c r="T21" s="37" t="inlineStr">
        <is>
          <t>WO</t>
        </is>
      </c>
      <c r="U21" s="36" t="inlineStr">
        <is>
          <t>P</t>
        </is>
      </c>
      <c r="V21" s="36" t="inlineStr">
        <is>
          <t>P</t>
        </is>
      </c>
      <c r="W21" s="36" t="inlineStr">
        <is>
          <t>P</t>
        </is>
      </c>
      <c r="X21" s="36" t="inlineStr">
        <is>
          <t>P</t>
        </is>
      </c>
      <c r="Y21" s="41" t="inlineStr">
        <is>
          <t>CL</t>
        </is>
      </c>
      <c r="Z21" s="43" t="inlineStr">
        <is>
          <t>CF</t>
        </is>
      </c>
      <c r="AA21" s="37" t="inlineStr">
        <is>
          <t>WO</t>
        </is>
      </c>
      <c r="AB21" s="42" t="inlineStr">
        <is>
          <t>L</t>
        </is>
      </c>
      <c r="AC21" s="36" t="inlineStr">
        <is>
          <t>P</t>
        </is>
      </c>
      <c r="AD21" s="38" t="inlineStr">
        <is>
          <t>-</t>
        </is>
      </c>
      <c r="AE21" s="38" t="inlineStr">
        <is>
          <t>-</t>
        </is>
      </c>
      <c r="AF21" s="38" t="inlineStr">
        <is>
          <t>-</t>
        </is>
      </c>
      <c r="AG21" s="39">
        <f>COUNTIF(B21:AF21, "P")</f>
        <v/>
      </c>
      <c r="AH21" s="15">
        <f>COUNTIF(B21:AF21, "CL")</f>
        <v/>
      </c>
      <c r="AI21" s="16">
        <f>COUNTIF(B21:AF21, "L")</f>
        <v/>
      </c>
      <c r="AJ21" s="17">
        <f>COUNTIF(B21:AF21, "WO")</f>
        <v/>
      </c>
      <c r="AK21" s="14">
        <f>COUNTIF(B21:AF21, "HO")</f>
        <v/>
      </c>
      <c r="AL21" s="18">
        <f>COUNTIF(B21:AF21, "CF")</f>
        <v/>
      </c>
      <c r="AM21" s="19">
        <f>AG21+AH21+AI21+AL21</f>
        <v/>
      </c>
      <c r="AN21" s="20">
        <f>IF(AM21&gt;0, AG21/AM21, 0)</f>
        <v/>
      </c>
    </row>
    <row r="22" ht="32" customHeight="1">
      <c r="A22" s="40" t="inlineStr">
        <is>
          <t>SAI CHARAN
Employee</t>
        </is>
      </c>
      <c r="B22" s="41" t="inlineStr">
        <is>
          <t>CL</t>
        </is>
      </c>
      <c r="C22" s="42" t="inlineStr">
        <is>
          <t>L</t>
        </is>
      </c>
      <c r="D22" s="42" t="inlineStr">
        <is>
          <t>L</t>
        </is>
      </c>
      <c r="E22" s="36" t="inlineStr">
        <is>
          <t>P</t>
        </is>
      </c>
      <c r="F22" s="37" t="inlineStr">
        <is>
          <t>WO</t>
        </is>
      </c>
      <c r="G22" s="36" t="inlineStr">
        <is>
          <t>P</t>
        </is>
      </c>
      <c r="H22" s="36" t="inlineStr">
        <is>
          <t>P</t>
        </is>
      </c>
      <c r="I22" s="36" t="inlineStr">
        <is>
          <t>P</t>
        </is>
      </c>
      <c r="J22" s="36" t="inlineStr">
        <is>
          <t>P</t>
        </is>
      </c>
      <c r="K22" s="36" t="inlineStr">
        <is>
          <t>P</t>
        </is>
      </c>
      <c r="L22" s="36" t="inlineStr">
        <is>
          <t>P</t>
        </is>
      </c>
      <c r="M22" s="37" t="inlineStr">
        <is>
          <t>WO</t>
        </is>
      </c>
      <c r="N22" s="36" t="inlineStr">
        <is>
          <t>P</t>
        </is>
      </c>
      <c r="O22" s="36" t="inlineStr">
        <is>
          <t>P</t>
        </is>
      </c>
      <c r="P22" s="36" t="inlineStr">
        <is>
          <t>P</t>
        </is>
      </c>
      <c r="Q22" s="36" t="inlineStr">
        <is>
          <t>P</t>
        </is>
      </c>
      <c r="R22" s="36" t="inlineStr">
        <is>
          <t>P</t>
        </is>
      </c>
      <c r="S22" s="36" t="inlineStr">
        <is>
          <t>P</t>
        </is>
      </c>
      <c r="T22" s="37" t="inlineStr">
        <is>
          <t>WO</t>
        </is>
      </c>
      <c r="U22" s="36" t="inlineStr">
        <is>
          <t>P</t>
        </is>
      </c>
      <c r="V22" s="36" t="inlineStr">
        <is>
          <t>P</t>
        </is>
      </c>
      <c r="W22" s="36" t="inlineStr">
        <is>
          <t>P</t>
        </is>
      </c>
      <c r="X22" s="36" t="inlineStr">
        <is>
          <t>P</t>
        </is>
      </c>
      <c r="Y22" s="36" t="inlineStr">
        <is>
          <t>P</t>
        </is>
      </c>
      <c r="Z22" s="36" t="inlineStr">
        <is>
          <t>P</t>
        </is>
      </c>
      <c r="AA22" s="37" t="inlineStr">
        <is>
          <t>WO</t>
        </is>
      </c>
      <c r="AB22" s="36" t="inlineStr">
        <is>
          <t>P</t>
        </is>
      </c>
      <c r="AC22" s="36" t="inlineStr">
        <is>
          <t>P</t>
        </is>
      </c>
      <c r="AD22" s="38" t="inlineStr">
        <is>
          <t>-</t>
        </is>
      </c>
      <c r="AE22" s="38" t="inlineStr">
        <is>
          <t>-</t>
        </is>
      </c>
      <c r="AF22" s="38" t="inlineStr">
        <is>
          <t>-</t>
        </is>
      </c>
      <c r="AG22" s="39">
        <f>COUNTIF(B22:AF22, "P")</f>
        <v/>
      </c>
      <c r="AH22" s="15">
        <f>COUNTIF(B22:AF22, "CL")</f>
        <v/>
      </c>
      <c r="AI22" s="16">
        <f>COUNTIF(B22:AF22, "L")</f>
        <v/>
      </c>
      <c r="AJ22" s="17">
        <f>COUNTIF(B22:AF22, "WO")</f>
        <v/>
      </c>
      <c r="AK22" s="14">
        <f>COUNTIF(B22:AF22, "HO")</f>
        <v/>
      </c>
      <c r="AL22" s="18">
        <f>COUNTIF(B22:AF22, "CF")</f>
        <v/>
      </c>
      <c r="AM22" s="19">
        <f>AG22+AH22+AI22+AL22</f>
        <v/>
      </c>
      <c r="AN22" s="20">
        <f>IF(AM22&gt;0, AG22/AM22, 0)</f>
        <v/>
      </c>
    </row>
    <row r="23" ht="32" customHeight="1">
      <c r="A23" s="35" t="inlineStr">
        <is>
          <t>VANI
Employee</t>
        </is>
      </c>
      <c r="B23" s="36" t="inlineStr">
        <is>
          <t>P</t>
        </is>
      </c>
      <c r="C23" s="36" t="inlineStr">
        <is>
          <t>P</t>
        </is>
      </c>
      <c r="D23" s="36" t="inlineStr">
        <is>
          <t>P</t>
        </is>
      </c>
      <c r="E23" s="36" t="inlineStr">
        <is>
          <t>P</t>
        </is>
      </c>
      <c r="F23" s="37" t="inlineStr">
        <is>
          <t>WO</t>
        </is>
      </c>
      <c r="G23" s="36" t="inlineStr">
        <is>
          <t>P</t>
        </is>
      </c>
      <c r="H23" s="36" t="inlineStr">
        <is>
          <t>P</t>
        </is>
      </c>
      <c r="I23" s="36" t="inlineStr">
        <is>
          <t>P</t>
        </is>
      </c>
      <c r="J23" s="36" t="inlineStr">
        <is>
          <t>P</t>
        </is>
      </c>
      <c r="K23" s="36" t="inlineStr">
        <is>
          <t>P</t>
        </is>
      </c>
      <c r="L23" s="36" t="inlineStr">
        <is>
          <t>P</t>
        </is>
      </c>
      <c r="M23" s="37" t="inlineStr">
        <is>
          <t>WO</t>
        </is>
      </c>
      <c r="N23" s="41" t="inlineStr">
        <is>
          <t>CL</t>
        </is>
      </c>
      <c r="O23" s="43" t="inlineStr">
        <is>
          <t>CF</t>
        </is>
      </c>
      <c r="P23" s="43" t="inlineStr">
        <is>
          <t>CF</t>
        </is>
      </c>
      <c r="Q23" s="42" t="inlineStr">
        <is>
          <t>L</t>
        </is>
      </c>
      <c r="R23" s="36" t="inlineStr">
        <is>
          <t>P</t>
        </is>
      </c>
      <c r="S23" s="36" t="inlineStr">
        <is>
          <t>P</t>
        </is>
      </c>
      <c r="T23" s="36" t="inlineStr">
        <is>
          <t>P</t>
        </is>
      </c>
      <c r="U23" s="36" t="inlineStr">
        <is>
          <t>P</t>
        </is>
      </c>
      <c r="V23" s="36" t="inlineStr">
        <is>
          <t>P</t>
        </is>
      </c>
      <c r="W23" s="36" t="inlineStr">
        <is>
          <t>P</t>
        </is>
      </c>
      <c r="X23" s="36" t="inlineStr">
        <is>
          <t>P</t>
        </is>
      </c>
      <c r="Y23" s="36" t="inlineStr">
        <is>
          <t>P</t>
        </is>
      </c>
      <c r="Z23" s="36" t="inlineStr">
        <is>
          <t>P</t>
        </is>
      </c>
      <c r="AA23" s="36" t="inlineStr">
        <is>
          <t>P</t>
        </is>
      </c>
      <c r="AB23" s="36" t="inlineStr">
        <is>
          <t>P</t>
        </is>
      </c>
      <c r="AC23" s="36" t="inlineStr">
        <is>
          <t>P</t>
        </is>
      </c>
      <c r="AD23" s="38" t="inlineStr">
        <is>
          <t>-</t>
        </is>
      </c>
      <c r="AE23" s="38" t="inlineStr">
        <is>
          <t>-</t>
        </is>
      </c>
      <c r="AF23" s="38" t="inlineStr">
        <is>
          <t>-</t>
        </is>
      </c>
      <c r="AG23" s="39">
        <f>COUNTIF(B23:AF23, "P")</f>
        <v/>
      </c>
      <c r="AH23" s="15">
        <f>COUNTIF(B23:AF23, "CL")</f>
        <v/>
      </c>
      <c r="AI23" s="16">
        <f>COUNTIF(B23:AF23, "L")</f>
        <v/>
      </c>
      <c r="AJ23" s="17">
        <f>COUNTIF(B23:AF23, "WO")</f>
        <v/>
      </c>
      <c r="AK23" s="14">
        <f>COUNTIF(B23:AF23, "HO")</f>
        <v/>
      </c>
      <c r="AL23" s="18">
        <f>COUNTIF(B23:AF23, "CF")</f>
        <v/>
      </c>
      <c r="AM23" s="19">
        <f>AG23+AH23+AI23+AL23</f>
        <v/>
      </c>
      <c r="AN23" s="20">
        <f>IF(AM23&gt;0, AG23/AM23, 0)</f>
        <v/>
      </c>
    </row>
    <row r="24" ht="32" customHeight="1">
      <c r="A24" s="40" t="inlineStr">
        <is>
          <t>PRAVEEN KUMAR
Employee</t>
        </is>
      </c>
      <c r="B24" s="38" t="inlineStr">
        <is>
          <t>-</t>
        </is>
      </c>
      <c r="C24" s="38" t="inlineStr">
        <is>
          <t>-</t>
        </is>
      </c>
      <c r="D24" s="38" t="inlineStr">
        <is>
          <t>-</t>
        </is>
      </c>
      <c r="E24" s="38" t="inlineStr">
        <is>
          <t>-</t>
        </is>
      </c>
      <c r="F24" s="38" t="inlineStr">
        <is>
          <t>-</t>
        </is>
      </c>
      <c r="G24" s="38" t="inlineStr">
        <is>
          <t>-</t>
        </is>
      </c>
      <c r="H24" s="38" t="inlineStr">
        <is>
          <t>-</t>
        </is>
      </c>
      <c r="I24" s="38" t="inlineStr">
        <is>
          <t>-</t>
        </is>
      </c>
      <c r="J24" s="38" t="inlineStr">
        <is>
          <t>-</t>
        </is>
      </c>
      <c r="K24" s="38" t="inlineStr">
        <is>
          <t>-</t>
        </is>
      </c>
      <c r="L24" s="38" t="inlineStr">
        <is>
          <t>-</t>
        </is>
      </c>
      <c r="M24" s="38" t="inlineStr">
        <is>
          <t>-</t>
        </is>
      </c>
      <c r="N24" s="38" t="inlineStr">
        <is>
          <t>-</t>
        </is>
      </c>
      <c r="O24" s="38" t="inlineStr">
        <is>
          <t>-</t>
        </is>
      </c>
      <c r="P24" s="38" t="inlineStr">
        <is>
          <t>-</t>
        </is>
      </c>
      <c r="Q24" s="38" t="inlineStr">
        <is>
          <t>-</t>
        </is>
      </c>
      <c r="R24" s="38" t="inlineStr">
        <is>
          <t>-</t>
        </is>
      </c>
      <c r="S24" s="38" t="inlineStr">
        <is>
          <t>-</t>
        </is>
      </c>
      <c r="T24" s="38" t="inlineStr">
        <is>
          <t>-</t>
        </is>
      </c>
      <c r="U24" s="38" t="inlineStr">
        <is>
          <t>-</t>
        </is>
      </c>
      <c r="V24" s="38" t="inlineStr">
        <is>
          <t>-</t>
        </is>
      </c>
      <c r="W24" s="38" t="inlineStr">
        <is>
          <t>-</t>
        </is>
      </c>
      <c r="X24" s="38" t="inlineStr">
        <is>
          <t>-</t>
        </is>
      </c>
      <c r="Y24" s="38" t="inlineStr">
        <is>
          <t>-</t>
        </is>
      </c>
      <c r="Z24" s="38" t="inlineStr">
        <is>
          <t>-</t>
        </is>
      </c>
      <c r="AA24" s="38" t="inlineStr">
        <is>
          <t>-</t>
        </is>
      </c>
      <c r="AB24" s="38" t="inlineStr">
        <is>
          <t>-</t>
        </is>
      </c>
      <c r="AC24" s="38" t="inlineStr">
        <is>
          <t>-</t>
        </is>
      </c>
      <c r="AD24" s="38" t="inlineStr">
        <is>
          <t>-</t>
        </is>
      </c>
      <c r="AE24" s="38" t="inlineStr">
        <is>
          <t>-</t>
        </is>
      </c>
      <c r="AF24" s="38" t="inlineStr">
        <is>
          <t>-</t>
        </is>
      </c>
      <c r="AG24" s="39">
        <f>COUNTIF(B24:AF24, "P")</f>
        <v/>
      </c>
      <c r="AH24" s="15">
        <f>COUNTIF(B24:AF24, "CL")</f>
        <v/>
      </c>
      <c r="AI24" s="16">
        <f>COUNTIF(B24:AF24, "L")</f>
        <v/>
      </c>
      <c r="AJ24" s="17">
        <f>COUNTIF(B24:AF24, "WO")</f>
        <v/>
      </c>
      <c r="AK24" s="14">
        <f>COUNTIF(B24:AF24, "HO")</f>
        <v/>
      </c>
      <c r="AL24" s="18">
        <f>COUNTIF(B24:AF24, "CF")</f>
        <v/>
      </c>
      <c r="AM24" s="19">
        <f>AG24+AH24+AI24+AL24</f>
        <v/>
      </c>
      <c r="AN24" s="20">
        <f>IF(AM24&gt;0, AG24/AM24, 0)</f>
        <v/>
      </c>
    </row>
    <row r="25" ht="32" customHeight="1">
      <c r="A25" s="35" t="inlineStr">
        <is>
          <t>RAVALI
Employee</t>
        </is>
      </c>
      <c r="B25" s="38" t="inlineStr">
        <is>
          <t>-</t>
        </is>
      </c>
      <c r="C25" s="38" t="inlineStr">
        <is>
          <t>-</t>
        </is>
      </c>
      <c r="D25" s="38" t="inlineStr">
        <is>
          <t>-</t>
        </is>
      </c>
      <c r="E25" s="38" t="inlineStr">
        <is>
          <t>-</t>
        </is>
      </c>
      <c r="F25" s="38" t="inlineStr">
        <is>
          <t>-</t>
        </is>
      </c>
      <c r="G25" s="38" t="inlineStr">
        <is>
          <t>-</t>
        </is>
      </c>
      <c r="H25" s="38" t="inlineStr">
        <is>
          <t>-</t>
        </is>
      </c>
      <c r="I25" s="38" t="inlineStr">
        <is>
          <t>-</t>
        </is>
      </c>
      <c r="J25" s="38" t="inlineStr">
        <is>
          <t>-</t>
        </is>
      </c>
      <c r="K25" s="38" t="inlineStr">
        <is>
          <t>-</t>
        </is>
      </c>
      <c r="L25" s="38" t="inlineStr">
        <is>
          <t>-</t>
        </is>
      </c>
      <c r="M25" s="38" t="inlineStr">
        <is>
          <t>-</t>
        </is>
      </c>
      <c r="N25" s="38" t="inlineStr">
        <is>
          <t>-</t>
        </is>
      </c>
      <c r="O25" s="38" t="inlineStr">
        <is>
          <t>-</t>
        </is>
      </c>
      <c r="P25" s="38" t="inlineStr">
        <is>
          <t>-</t>
        </is>
      </c>
      <c r="Q25" s="38" t="inlineStr">
        <is>
          <t>-</t>
        </is>
      </c>
      <c r="R25" s="38" t="inlineStr">
        <is>
          <t>-</t>
        </is>
      </c>
      <c r="S25" s="38" t="inlineStr">
        <is>
          <t>-</t>
        </is>
      </c>
      <c r="T25" s="38" t="inlineStr">
        <is>
          <t>-</t>
        </is>
      </c>
      <c r="U25" s="38" t="inlineStr">
        <is>
          <t>-</t>
        </is>
      </c>
      <c r="V25" s="38" t="inlineStr">
        <is>
          <t>-</t>
        </is>
      </c>
      <c r="W25" s="38" t="inlineStr">
        <is>
          <t>-</t>
        </is>
      </c>
      <c r="X25" s="38" t="inlineStr">
        <is>
          <t>-</t>
        </is>
      </c>
      <c r="Y25" s="38" t="inlineStr">
        <is>
          <t>-</t>
        </is>
      </c>
      <c r="Z25" s="38" t="inlineStr">
        <is>
          <t>-</t>
        </is>
      </c>
      <c r="AA25" s="38" t="inlineStr">
        <is>
          <t>-</t>
        </is>
      </c>
      <c r="AB25" s="38" t="inlineStr">
        <is>
          <t>-</t>
        </is>
      </c>
      <c r="AC25" s="38" t="inlineStr">
        <is>
          <t>-</t>
        </is>
      </c>
      <c r="AD25" s="38" t="inlineStr">
        <is>
          <t>-</t>
        </is>
      </c>
      <c r="AE25" s="38" t="inlineStr">
        <is>
          <t>-</t>
        </is>
      </c>
      <c r="AF25" s="38" t="inlineStr">
        <is>
          <t>-</t>
        </is>
      </c>
      <c r="AG25" s="39">
        <f>COUNTIF(B25:AF25, "P")</f>
        <v/>
      </c>
      <c r="AH25" s="15">
        <f>COUNTIF(B25:AF25, "CL")</f>
        <v/>
      </c>
      <c r="AI25" s="16">
        <f>COUNTIF(B25:AF25, "L")</f>
        <v/>
      </c>
      <c r="AJ25" s="17">
        <f>COUNTIF(B25:AF25, "WO")</f>
        <v/>
      </c>
      <c r="AK25" s="14">
        <f>COUNTIF(B25:AF25, "HO")</f>
        <v/>
      </c>
      <c r="AL25" s="18">
        <f>COUNTIF(B25:AF25, "CF")</f>
        <v/>
      </c>
      <c r="AM25" s="19">
        <f>AG25+AH25+AI25+AL25</f>
        <v/>
      </c>
      <c r="AN25" s="20">
        <f>IF(AM25&gt;0, AG25/AM25, 0)</f>
        <v/>
      </c>
    </row>
    <row r="26" ht="32" customHeight="1">
      <c r="A26" s="40" t="inlineStr">
        <is>
          <t>VITTAL
Employee</t>
        </is>
      </c>
      <c r="B26" s="38" t="inlineStr">
        <is>
          <t>-</t>
        </is>
      </c>
      <c r="C26" s="38" t="inlineStr">
        <is>
          <t>-</t>
        </is>
      </c>
      <c r="D26" s="38" t="inlineStr">
        <is>
          <t>-</t>
        </is>
      </c>
      <c r="E26" s="38" t="inlineStr">
        <is>
          <t>-</t>
        </is>
      </c>
      <c r="F26" s="38" t="inlineStr">
        <is>
          <t>-</t>
        </is>
      </c>
      <c r="G26" s="38" t="inlineStr">
        <is>
          <t>-</t>
        </is>
      </c>
      <c r="H26" s="38" t="inlineStr">
        <is>
          <t>-</t>
        </is>
      </c>
      <c r="I26" s="38" t="inlineStr">
        <is>
          <t>-</t>
        </is>
      </c>
      <c r="J26" s="38" t="inlineStr">
        <is>
          <t>-</t>
        </is>
      </c>
      <c r="K26" s="38" t="inlineStr">
        <is>
          <t>-</t>
        </is>
      </c>
      <c r="L26" s="38" t="inlineStr">
        <is>
          <t>-</t>
        </is>
      </c>
      <c r="M26" s="38" t="inlineStr">
        <is>
          <t>-</t>
        </is>
      </c>
      <c r="N26" s="38" t="inlineStr">
        <is>
          <t>-</t>
        </is>
      </c>
      <c r="O26" s="38" t="inlineStr">
        <is>
          <t>-</t>
        </is>
      </c>
      <c r="P26" s="38" t="inlineStr">
        <is>
          <t>-</t>
        </is>
      </c>
      <c r="Q26" s="38" t="inlineStr">
        <is>
          <t>-</t>
        </is>
      </c>
      <c r="R26" s="38" t="inlineStr">
        <is>
          <t>-</t>
        </is>
      </c>
      <c r="S26" s="38" t="inlineStr">
        <is>
          <t>-</t>
        </is>
      </c>
      <c r="T26" s="38" t="inlineStr">
        <is>
          <t>-</t>
        </is>
      </c>
      <c r="U26" s="38" t="inlineStr">
        <is>
          <t>-</t>
        </is>
      </c>
      <c r="V26" s="38" t="inlineStr">
        <is>
          <t>-</t>
        </is>
      </c>
      <c r="W26" s="38" t="inlineStr">
        <is>
          <t>-</t>
        </is>
      </c>
      <c r="X26" s="38" t="inlineStr">
        <is>
          <t>-</t>
        </is>
      </c>
      <c r="Y26" s="38" t="inlineStr">
        <is>
          <t>-</t>
        </is>
      </c>
      <c r="Z26" s="38" t="inlineStr">
        <is>
          <t>-</t>
        </is>
      </c>
      <c r="AA26" s="38" t="inlineStr">
        <is>
          <t>-</t>
        </is>
      </c>
      <c r="AB26" s="38" t="inlineStr">
        <is>
          <t>-</t>
        </is>
      </c>
      <c r="AC26" s="38" t="inlineStr">
        <is>
          <t>-</t>
        </is>
      </c>
      <c r="AD26" s="38" t="inlineStr">
        <is>
          <t>-</t>
        </is>
      </c>
      <c r="AE26" s="38" t="inlineStr">
        <is>
          <t>-</t>
        </is>
      </c>
      <c r="AF26" s="38" t="inlineStr">
        <is>
          <t>-</t>
        </is>
      </c>
      <c r="AG26" s="39">
        <f>COUNTIF(B26:AF26, "P")</f>
        <v/>
      </c>
      <c r="AH26" s="15">
        <f>COUNTIF(B26:AF26, "CL")</f>
        <v/>
      </c>
      <c r="AI26" s="16">
        <f>COUNTIF(B26:AF26, "L")</f>
        <v/>
      </c>
      <c r="AJ26" s="17">
        <f>COUNTIF(B26:AF26, "WO")</f>
        <v/>
      </c>
      <c r="AK26" s="14">
        <f>COUNTIF(B26:AF26, "HO")</f>
        <v/>
      </c>
      <c r="AL26" s="18">
        <f>COUNTIF(B26:AF26, "CF")</f>
        <v/>
      </c>
      <c r="AM26" s="19">
        <f>AG26+AH26+AI26+AL26</f>
        <v/>
      </c>
      <c r="AN26" s="20">
        <f>IF(AM26&gt;0, AG26/AM26, 0)</f>
        <v/>
      </c>
    </row>
    <row r="27" ht="30" customHeight="1">
      <c r="A27" s="44" t="inlineStr">
        <is>
          <t>Overall Staff Total / Daily Present</t>
        </is>
      </c>
      <c r="B27" s="45">
        <f>COUNTIF(B5:B26, "P")</f>
        <v/>
      </c>
      <c r="C27" s="45">
        <f>COUNTIF(C5:C26, "P")</f>
        <v/>
      </c>
      <c r="D27" s="45">
        <f>COUNTIF(D5:D26, "P")</f>
        <v/>
      </c>
      <c r="E27" s="45">
        <f>COUNTIF(E5:E26, "P")</f>
        <v/>
      </c>
      <c r="F27" s="45">
        <f>COUNTIF(F5:F26, "P")</f>
        <v/>
      </c>
      <c r="G27" s="45">
        <f>COUNTIF(G5:G26, "P")</f>
        <v/>
      </c>
      <c r="H27" s="45">
        <f>COUNTIF(H5:H26, "P")</f>
        <v/>
      </c>
      <c r="I27" s="45">
        <f>COUNTIF(I5:I26, "P")</f>
        <v/>
      </c>
      <c r="J27" s="45">
        <f>COUNTIF(J5:J26, "P")</f>
        <v/>
      </c>
      <c r="K27" s="45">
        <f>COUNTIF(K5:K26, "P")</f>
        <v/>
      </c>
      <c r="L27" s="45">
        <f>COUNTIF(L5:L26, "P")</f>
        <v/>
      </c>
      <c r="M27" s="45">
        <f>COUNTIF(M5:M26, "P")</f>
        <v/>
      </c>
      <c r="N27" s="45">
        <f>COUNTIF(N5:N26, "P")</f>
        <v/>
      </c>
      <c r="O27" s="45">
        <f>COUNTIF(O5:O26, "P")</f>
        <v/>
      </c>
      <c r="P27" s="45">
        <f>COUNTIF(P5:P26, "P")</f>
        <v/>
      </c>
      <c r="Q27" s="45">
        <f>COUNTIF(Q5:Q26, "P")</f>
        <v/>
      </c>
      <c r="R27" s="45">
        <f>COUNTIF(R5:R26, "P")</f>
        <v/>
      </c>
      <c r="S27" s="45">
        <f>COUNTIF(S5:S26, "P")</f>
        <v/>
      </c>
      <c r="T27" s="45">
        <f>COUNTIF(T5:T26, "P")</f>
        <v/>
      </c>
      <c r="U27" s="45">
        <f>COUNTIF(U5:U26, "P")</f>
        <v/>
      </c>
      <c r="V27" s="45">
        <f>COUNTIF(V5:V26, "P")</f>
        <v/>
      </c>
      <c r="W27" s="45">
        <f>COUNTIF(W5:W26, "P")</f>
        <v/>
      </c>
      <c r="X27" s="45">
        <f>COUNTIF(X5:X26, "P")</f>
        <v/>
      </c>
      <c r="Y27" s="45">
        <f>COUNTIF(Y5:Y26, "P")</f>
        <v/>
      </c>
      <c r="Z27" s="45">
        <f>COUNTIF(Z5:Z26, "P")</f>
        <v/>
      </c>
      <c r="AA27" s="45">
        <f>COUNTIF(AA5:AA26, "P")</f>
        <v/>
      </c>
      <c r="AB27" s="45">
        <f>COUNTIF(AB5:AB26, "P")</f>
        <v/>
      </c>
      <c r="AC27" s="45">
        <f>COUNTIF(AC5:AC26, "P")</f>
        <v/>
      </c>
      <c r="AD27" s="45">
        <f>COUNTIF(AD5:AD26, "P")</f>
        <v/>
      </c>
      <c r="AE27" s="45">
        <f>COUNTIF(AE5:AE26, "P")</f>
        <v/>
      </c>
      <c r="AF27" s="45">
        <f>COUNTIF(AF5:AF26, "P")</f>
        <v/>
      </c>
      <c r="AG27" s="46">
        <f>SUM(AG5:AG26)</f>
        <v/>
      </c>
      <c r="AH27" s="46">
        <f>SUM(AH5:AH26)</f>
        <v/>
      </c>
      <c r="AI27" s="46">
        <f>SUM(AI5:AI26)</f>
        <v/>
      </c>
      <c r="AJ27" s="46">
        <f>SUM(AJ5:AJ26)</f>
        <v/>
      </c>
      <c r="AK27" s="46">
        <f>SUM(AK5:AK26)</f>
        <v/>
      </c>
      <c r="AL27" s="46">
        <f>SUM(AL5:AL26)</f>
        <v/>
      </c>
      <c r="AM27" s="46">
        <f>SUM(AM5:AM26)</f>
        <v/>
      </c>
      <c r="AN27" s="24">
        <f>IF(AM27&gt;0, AG27/AM27, 0)</f>
        <v/>
      </c>
    </row>
  </sheetData>
  <mergeCells count="2">
    <mergeCell ref="A2:AN2"/>
    <mergeCell ref="A1:A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4.5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11" customWidth="1" min="39" max="39"/>
    <col width="14" customWidth="1" min="40" max="40"/>
  </cols>
  <sheetData>
    <row r="1" ht="36" customHeight="1">
      <c r="A1" s="25" t="inlineStr">
        <is>
          <t>VASUS ATTENDANCE TRACKER — JUNE 2026</t>
        </is>
      </c>
    </row>
    <row r="2" ht="24" customHeight="1">
      <c r="A2" s="2" t="inlineStr">
        <is>
          <t>Status Codes:  [P] Present (Green)  |  [CL] Casual Leave (Teal)  |  [L] Leave (Red)  |  [WO] Week Off (Purple)  |  [HO] Holiday (Mint)  |  [CF] Comp Off (Pink)  |  [-] Blank</t>
        </is>
      </c>
    </row>
    <row r="3" ht="10" customHeight="1"/>
    <row r="4" ht="36" customHeight="1">
      <c r="A4" s="26" t="inlineStr">
        <is>
          <t>Employee / Doctor</t>
        </is>
      </c>
      <c r="B4" s="27" t="inlineStr">
        <is>
          <t>1
Mon</t>
        </is>
      </c>
      <c r="C4" s="27" t="inlineStr">
        <is>
          <t>2
Tue</t>
        </is>
      </c>
      <c r="D4" s="27" t="inlineStr">
        <is>
          <t>3
Wed</t>
        </is>
      </c>
      <c r="E4" s="27" t="inlineStr">
        <is>
          <t>4
Thu</t>
        </is>
      </c>
      <c r="F4" s="27" t="inlineStr">
        <is>
          <t>5
Fri</t>
        </is>
      </c>
      <c r="G4" s="27" t="inlineStr">
        <is>
          <t>6
Sat</t>
        </is>
      </c>
      <c r="H4" s="27" t="inlineStr">
        <is>
          <t>7
Sun</t>
        </is>
      </c>
      <c r="I4" s="27" t="inlineStr">
        <is>
          <t>8
Mon</t>
        </is>
      </c>
      <c r="J4" s="27" t="inlineStr">
        <is>
          <t>9
Tue</t>
        </is>
      </c>
      <c r="K4" s="27" t="inlineStr">
        <is>
          <t>10
Wed</t>
        </is>
      </c>
      <c r="L4" s="27" t="inlineStr">
        <is>
          <t>11
Thu</t>
        </is>
      </c>
      <c r="M4" s="27" t="inlineStr">
        <is>
          <t>12
Fri</t>
        </is>
      </c>
      <c r="N4" s="27" t="inlineStr">
        <is>
          <t>13
Sat</t>
        </is>
      </c>
      <c r="O4" s="27" t="inlineStr">
        <is>
          <t>14
Sun</t>
        </is>
      </c>
      <c r="P4" s="27" t="inlineStr">
        <is>
          <t>15
Mon</t>
        </is>
      </c>
      <c r="Q4" s="27" t="inlineStr">
        <is>
          <t>16
Tue</t>
        </is>
      </c>
      <c r="R4" s="27" t="inlineStr">
        <is>
          <t>17
Wed</t>
        </is>
      </c>
      <c r="S4" s="27" t="inlineStr">
        <is>
          <t>18
Thu</t>
        </is>
      </c>
      <c r="T4" s="27" t="inlineStr">
        <is>
          <t>19
Fri</t>
        </is>
      </c>
      <c r="U4" s="27" t="inlineStr">
        <is>
          <t>20
Sat</t>
        </is>
      </c>
      <c r="V4" s="27" t="inlineStr">
        <is>
          <t>21
Sun</t>
        </is>
      </c>
      <c r="W4" s="27" t="inlineStr">
        <is>
          <t>22
Mon</t>
        </is>
      </c>
      <c r="X4" s="27" t="inlineStr">
        <is>
          <t>23
Tue</t>
        </is>
      </c>
      <c r="Y4" s="27" t="inlineStr">
        <is>
          <t>24
Wed</t>
        </is>
      </c>
      <c r="Z4" s="27" t="inlineStr">
        <is>
          <t>25
Thu</t>
        </is>
      </c>
      <c r="AA4" s="27" t="inlineStr">
        <is>
          <t>26
Fri</t>
        </is>
      </c>
      <c r="AB4" s="27" t="inlineStr">
        <is>
          <t>27
Sat</t>
        </is>
      </c>
      <c r="AC4" s="27" t="inlineStr">
        <is>
          <t>28
Sun</t>
        </is>
      </c>
      <c r="AD4" s="27" t="inlineStr">
        <is>
          <t>29
Mon</t>
        </is>
      </c>
      <c r="AE4" s="27" t="inlineStr">
        <is>
          <t>30
Tue</t>
        </is>
      </c>
      <c r="AF4" s="47" t="inlineStr">
        <is>
          <t>-</t>
        </is>
      </c>
      <c r="AG4" s="28" t="inlineStr">
        <is>
          <t>P</t>
        </is>
      </c>
      <c r="AH4" s="29" t="inlineStr">
        <is>
          <t>CL</t>
        </is>
      </c>
      <c r="AI4" s="30" t="inlineStr">
        <is>
          <t>L</t>
        </is>
      </c>
      <c r="AJ4" s="31" t="inlineStr">
        <is>
          <t>WO</t>
        </is>
      </c>
      <c r="AK4" s="32" t="inlineStr">
        <is>
          <t>HO</t>
        </is>
      </c>
      <c r="AL4" s="33" t="inlineStr">
        <is>
          <t>CF</t>
        </is>
      </c>
      <c r="AM4" s="27" t="inlineStr">
        <is>
          <t>Working
Days</t>
        </is>
      </c>
      <c r="AN4" s="34" t="inlineStr">
        <is>
          <t>Attendance
%</t>
        </is>
      </c>
    </row>
    <row r="5" ht="32" customHeight="1">
      <c r="A5" s="35" t="inlineStr">
        <is>
          <t>DR CHINJU
Doctor</t>
        </is>
      </c>
      <c r="B5" s="36" t="inlineStr">
        <is>
          <t>P</t>
        </is>
      </c>
      <c r="C5" s="36" t="inlineStr">
        <is>
          <t>P</t>
        </is>
      </c>
      <c r="D5" s="36" t="inlineStr">
        <is>
          <t>P</t>
        </is>
      </c>
      <c r="E5" s="36" t="inlineStr">
        <is>
          <t>P</t>
        </is>
      </c>
      <c r="F5" s="36" t="inlineStr">
        <is>
          <t>P</t>
        </is>
      </c>
      <c r="G5" s="36" t="inlineStr">
        <is>
          <t>P</t>
        </is>
      </c>
      <c r="H5" s="37" t="inlineStr">
        <is>
          <t>WO</t>
        </is>
      </c>
      <c r="I5" s="36" t="inlineStr">
        <is>
          <t>P</t>
        </is>
      </c>
      <c r="J5" s="36" t="inlineStr">
        <is>
          <t>P</t>
        </is>
      </c>
      <c r="K5" s="36" t="inlineStr">
        <is>
          <t>P</t>
        </is>
      </c>
      <c r="L5" s="36" t="inlineStr">
        <is>
          <t>P</t>
        </is>
      </c>
      <c r="M5" s="36" t="inlineStr">
        <is>
          <t>P</t>
        </is>
      </c>
      <c r="N5" s="36" t="inlineStr">
        <is>
          <t>P</t>
        </is>
      </c>
      <c r="O5" s="37" t="inlineStr">
        <is>
          <t>WO</t>
        </is>
      </c>
      <c r="P5" s="36" t="inlineStr">
        <is>
          <t>P</t>
        </is>
      </c>
      <c r="Q5" s="36" t="inlineStr">
        <is>
          <t>P</t>
        </is>
      </c>
      <c r="R5" s="36" t="inlineStr">
        <is>
          <t>P</t>
        </is>
      </c>
      <c r="S5" s="36" t="inlineStr">
        <is>
          <t>P</t>
        </is>
      </c>
      <c r="T5" s="36" t="inlineStr">
        <is>
          <t>P</t>
        </is>
      </c>
      <c r="U5" s="36" t="inlineStr">
        <is>
          <t>P</t>
        </is>
      </c>
      <c r="V5" s="37" t="inlineStr">
        <is>
          <t>WO</t>
        </is>
      </c>
      <c r="W5" s="36" t="inlineStr">
        <is>
          <t>P</t>
        </is>
      </c>
      <c r="X5" s="36" t="inlineStr">
        <is>
          <t>P</t>
        </is>
      </c>
      <c r="Y5" s="36" t="inlineStr">
        <is>
          <t>P</t>
        </is>
      </c>
      <c r="Z5" s="36" t="inlineStr">
        <is>
          <t>P</t>
        </is>
      </c>
      <c r="AA5" s="36" t="inlineStr">
        <is>
          <t>P</t>
        </is>
      </c>
      <c r="AB5" s="36" t="inlineStr">
        <is>
          <t>P</t>
        </is>
      </c>
      <c r="AC5" s="37" t="inlineStr">
        <is>
          <t>WO</t>
        </is>
      </c>
      <c r="AD5" s="36" t="inlineStr">
        <is>
          <t>P</t>
        </is>
      </c>
      <c r="AE5" s="38" t="inlineStr">
        <is>
          <t>-</t>
        </is>
      </c>
      <c r="AF5" s="48" t="inlineStr">
        <is>
          <t>-</t>
        </is>
      </c>
      <c r="AG5" s="39">
        <f>COUNTIF(B5:AE5, "P")</f>
        <v/>
      </c>
      <c r="AH5" s="15">
        <f>COUNTIF(B5:AE5, "CL")</f>
        <v/>
      </c>
      <c r="AI5" s="16">
        <f>COUNTIF(B5:AE5, "L")</f>
        <v/>
      </c>
      <c r="AJ5" s="17">
        <f>COUNTIF(B5:AE5, "WO")</f>
        <v/>
      </c>
      <c r="AK5" s="14">
        <f>COUNTIF(B5:AE5, "HO")</f>
        <v/>
      </c>
      <c r="AL5" s="18">
        <f>COUNTIF(B5:AE5, "CF")</f>
        <v/>
      </c>
      <c r="AM5" s="19">
        <f>AG5+AH5+AI5+AL5</f>
        <v/>
      </c>
      <c r="AN5" s="20">
        <f>IF(AM5&gt;0, AG5/AM5, 0)</f>
        <v/>
      </c>
    </row>
    <row r="6" ht="32" customHeight="1">
      <c r="A6" s="40" t="inlineStr">
        <is>
          <t>DR VARUN
Doctor</t>
        </is>
      </c>
      <c r="B6" s="36" t="inlineStr">
        <is>
          <t>P</t>
        </is>
      </c>
      <c r="C6" s="36" t="inlineStr">
        <is>
          <t>P</t>
        </is>
      </c>
      <c r="D6" s="36" t="inlineStr">
        <is>
          <t>P</t>
        </is>
      </c>
      <c r="E6" s="36" t="inlineStr">
        <is>
          <t>P</t>
        </is>
      </c>
      <c r="F6" s="36" t="inlineStr">
        <is>
          <t>P</t>
        </is>
      </c>
      <c r="G6" s="36" t="inlineStr">
        <is>
          <t>P</t>
        </is>
      </c>
      <c r="H6" s="37" t="inlineStr">
        <is>
          <t>WO</t>
        </is>
      </c>
      <c r="I6" s="36" t="inlineStr">
        <is>
          <t>P</t>
        </is>
      </c>
      <c r="J6" s="36" t="inlineStr">
        <is>
          <t>P</t>
        </is>
      </c>
      <c r="K6" s="36" t="inlineStr">
        <is>
          <t>P</t>
        </is>
      </c>
      <c r="L6" s="36" t="inlineStr">
        <is>
          <t>P</t>
        </is>
      </c>
      <c r="M6" s="36" t="inlineStr">
        <is>
          <t>P</t>
        </is>
      </c>
      <c r="N6" s="36" t="inlineStr">
        <is>
          <t>P</t>
        </is>
      </c>
      <c r="O6" s="37" t="inlineStr">
        <is>
          <t>WO</t>
        </is>
      </c>
      <c r="P6" s="36" t="inlineStr">
        <is>
          <t>P</t>
        </is>
      </c>
      <c r="Q6" s="36" t="inlineStr">
        <is>
          <t>P</t>
        </is>
      </c>
      <c r="R6" s="36" t="inlineStr">
        <is>
          <t>P</t>
        </is>
      </c>
      <c r="S6" s="36" t="inlineStr">
        <is>
          <t>P</t>
        </is>
      </c>
      <c r="T6" s="36" t="inlineStr">
        <is>
          <t>P</t>
        </is>
      </c>
      <c r="U6" s="36" t="inlineStr">
        <is>
          <t>P</t>
        </is>
      </c>
      <c r="V6" s="37" t="inlineStr">
        <is>
          <t>WO</t>
        </is>
      </c>
      <c r="W6" s="36" t="inlineStr">
        <is>
          <t>P</t>
        </is>
      </c>
      <c r="X6" s="36" t="inlineStr">
        <is>
          <t>P</t>
        </is>
      </c>
      <c r="Y6" s="36" t="inlineStr">
        <is>
          <t>P</t>
        </is>
      </c>
      <c r="Z6" s="36" t="inlineStr">
        <is>
          <t>P</t>
        </is>
      </c>
      <c r="AA6" s="36" t="inlineStr">
        <is>
          <t>P</t>
        </is>
      </c>
      <c r="AB6" s="36" t="inlineStr">
        <is>
          <t>P</t>
        </is>
      </c>
      <c r="AC6" s="37" t="inlineStr">
        <is>
          <t>WO</t>
        </is>
      </c>
      <c r="AD6" s="36" t="inlineStr">
        <is>
          <t>P</t>
        </is>
      </c>
      <c r="AE6" s="38" t="inlineStr">
        <is>
          <t>-</t>
        </is>
      </c>
      <c r="AF6" s="48" t="inlineStr">
        <is>
          <t>-</t>
        </is>
      </c>
      <c r="AG6" s="39">
        <f>COUNTIF(B6:AE6, "P")</f>
        <v/>
      </c>
      <c r="AH6" s="15">
        <f>COUNTIF(B6:AE6, "CL")</f>
        <v/>
      </c>
      <c r="AI6" s="16">
        <f>COUNTIF(B6:AE6, "L")</f>
        <v/>
      </c>
      <c r="AJ6" s="17">
        <f>COUNTIF(B6:AE6, "WO")</f>
        <v/>
      </c>
      <c r="AK6" s="14">
        <f>COUNTIF(B6:AE6, "HO")</f>
        <v/>
      </c>
      <c r="AL6" s="18">
        <f>COUNTIF(B6:AE6, "CF")</f>
        <v/>
      </c>
      <c r="AM6" s="19">
        <f>AG6+AH6+AI6+AL6</f>
        <v/>
      </c>
      <c r="AN6" s="20">
        <f>IF(AM6&gt;0, AG6/AM6, 0)</f>
        <v/>
      </c>
    </row>
    <row r="7" ht="32" customHeight="1">
      <c r="A7" s="35" t="inlineStr">
        <is>
          <t>DR BINDU
Doctor</t>
        </is>
      </c>
      <c r="B7" s="36" t="inlineStr">
        <is>
          <t>P</t>
        </is>
      </c>
      <c r="C7" s="36" t="inlineStr">
        <is>
          <t>P</t>
        </is>
      </c>
      <c r="D7" s="36" t="inlineStr">
        <is>
          <t>P</t>
        </is>
      </c>
      <c r="E7" s="36" t="inlineStr">
        <is>
          <t>P</t>
        </is>
      </c>
      <c r="F7" s="36" t="inlineStr">
        <is>
          <t>P</t>
        </is>
      </c>
      <c r="G7" s="36" t="inlineStr">
        <is>
          <t>P</t>
        </is>
      </c>
      <c r="H7" s="37" t="inlineStr">
        <is>
          <t>WO</t>
        </is>
      </c>
      <c r="I7" s="36" t="inlineStr">
        <is>
          <t>P</t>
        </is>
      </c>
      <c r="J7" s="36" t="inlineStr">
        <is>
          <t>P</t>
        </is>
      </c>
      <c r="K7" s="36" t="inlineStr">
        <is>
          <t>P</t>
        </is>
      </c>
      <c r="L7" s="36" t="inlineStr">
        <is>
          <t>P</t>
        </is>
      </c>
      <c r="M7" s="36" t="inlineStr">
        <is>
          <t>P</t>
        </is>
      </c>
      <c r="N7" s="36" t="inlineStr">
        <is>
          <t>P</t>
        </is>
      </c>
      <c r="O7" s="37" t="inlineStr">
        <is>
          <t>WO</t>
        </is>
      </c>
      <c r="P7" s="36" t="inlineStr">
        <is>
          <t>P</t>
        </is>
      </c>
      <c r="Q7" s="36" t="inlineStr">
        <is>
          <t>P</t>
        </is>
      </c>
      <c r="R7" s="36" t="inlineStr">
        <is>
          <t>P</t>
        </is>
      </c>
      <c r="S7" s="36" t="inlineStr">
        <is>
          <t>P</t>
        </is>
      </c>
      <c r="T7" s="36" t="inlineStr">
        <is>
          <t>P</t>
        </is>
      </c>
      <c r="U7" s="41" t="inlineStr">
        <is>
          <t>CL</t>
        </is>
      </c>
      <c r="V7" s="37" t="inlineStr">
        <is>
          <t>WO</t>
        </is>
      </c>
      <c r="W7" s="36" t="inlineStr">
        <is>
          <t>P</t>
        </is>
      </c>
      <c r="X7" s="36" t="inlineStr">
        <is>
          <t>P</t>
        </is>
      </c>
      <c r="Y7" s="36" t="inlineStr">
        <is>
          <t>P</t>
        </is>
      </c>
      <c r="Z7" s="36" t="inlineStr">
        <is>
          <t>P</t>
        </is>
      </c>
      <c r="AA7" s="36" t="inlineStr">
        <is>
          <t>P</t>
        </is>
      </c>
      <c r="AB7" s="36" t="inlineStr">
        <is>
          <t>P</t>
        </is>
      </c>
      <c r="AC7" s="37" t="inlineStr">
        <is>
          <t>WO</t>
        </is>
      </c>
      <c r="AD7" s="36" t="inlineStr">
        <is>
          <t>P</t>
        </is>
      </c>
      <c r="AE7" s="38" t="inlineStr">
        <is>
          <t>-</t>
        </is>
      </c>
      <c r="AF7" s="48" t="inlineStr">
        <is>
          <t>-</t>
        </is>
      </c>
      <c r="AG7" s="39">
        <f>COUNTIF(B7:AE7, "P")</f>
        <v/>
      </c>
      <c r="AH7" s="15">
        <f>COUNTIF(B7:AE7, "CL")</f>
        <v/>
      </c>
      <c r="AI7" s="16">
        <f>COUNTIF(B7:AE7, "L")</f>
        <v/>
      </c>
      <c r="AJ7" s="17">
        <f>COUNTIF(B7:AE7, "WO")</f>
        <v/>
      </c>
      <c r="AK7" s="14">
        <f>COUNTIF(B7:AE7, "HO")</f>
        <v/>
      </c>
      <c r="AL7" s="18">
        <f>COUNTIF(B7:AE7, "CF")</f>
        <v/>
      </c>
      <c r="AM7" s="19">
        <f>AG7+AH7+AI7+AL7</f>
        <v/>
      </c>
      <c r="AN7" s="20">
        <f>IF(AM7&gt;0, AG7/AM7, 0)</f>
        <v/>
      </c>
    </row>
    <row r="8" ht="32" customHeight="1">
      <c r="A8" s="40" t="inlineStr">
        <is>
          <t>DR SUNITHA
Doctor</t>
        </is>
      </c>
      <c r="B8" s="36" t="inlineStr">
        <is>
          <t>P</t>
        </is>
      </c>
      <c r="C8" s="36" t="inlineStr">
        <is>
          <t>P</t>
        </is>
      </c>
      <c r="D8" s="36" t="inlineStr">
        <is>
          <t>P</t>
        </is>
      </c>
      <c r="E8" s="36" t="inlineStr">
        <is>
          <t>P</t>
        </is>
      </c>
      <c r="F8" s="36" t="inlineStr">
        <is>
          <t>P</t>
        </is>
      </c>
      <c r="G8" s="36" t="inlineStr">
        <is>
          <t>P</t>
        </is>
      </c>
      <c r="H8" s="37" t="inlineStr">
        <is>
          <t>WO</t>
        </is>
      </c>
      <c r="I8" s="36" t="inlineStr">
        <is>
          <t>P</t>
        </is>
      </c>
      <c r="J8" s="36" t="inlineStr">
        <is>
          <t>P</t>
        </is>
      </c>
      <c r="K8" s="36" t="inlineStr">
        <is>
          <t>P</t>
        </is>
      </c>
      <c r="L8" s="36" t="inlineStr">
        <is>
          <t>P</t>
        </is>
      </c>
      <c r="M8" s="36" t="inlineStr">
        <is>
          <t>P</t>
        </is>
      </c>
      <c r="N8" s="36" t="inlineStr">
        <is>
          <t>P</t>
        </is>
      </c>
      <c r="O8" s="37" t="inlineStr">
        <is>
          <t>WO</t>
        </is>
      </c>
      <c r="P8" s="36" t="inlineStr">
        <is>
          <t>P</t>
        </is>
      </c>
      <c r="Q8" s="36" t="inlineStr">
        <is>
          <t>P</t>
        </is>
      </c>
      <c r="R8" s="36" t="inlineStr">
        <is>
          <t>P</t>
        </is>
      </c>
      <c r="S8" s="36" t="inlineStr">
        <is>
          <t>P</t>
        </is>
      </c>
      <c r="T8" s="41" t="inlineStr">
        <is>
          <t>CL</t>
        </is>
      </c>
      <c r="U8" s="36" t="inlineStr">
        <is>
          <t>P</t>
        </is>
      </c>
      <c r="V8" s="37" t="inlineStr">
        <is>
          <t>WO</t>
        </is>
      </c>
      <c r="W8" s="36" t="inlineStr">
        <is>
          <t>P</t>
        </is>
      </c>
      <c r="X8" s="36" t="inlineStr">
        <is>
          <t>P</t>
        </is>
      </c>
      <c r="Y8" s="36" t="inlineStr">
        <is>
          <t>P</t>
        </is>
      </c>
      <c r="Z8" s="36" t="inlineStr">
        <is>
          <t>P</t>
        </is>
      </c>
      <c r="AA8" s="36" t="inlineStr">
        <is>
          <t>P</t>
        </is>
      </c>
      <c r="AB8" s="36" t="inlineStr">
        <is>
          <t>P</t>
        </is>
      </c>
      <c r="AC8" s="37" t="inlineStr">
        <is>
          <t>WO</t>
        </is>
      </c>
      <c r="AD8" s="36" t="inlineStr">
        <is>
          <t>P</t>
        </is>
      </c>
      <c r="AE8" s="38" t="inlineStr">
        <is>
          <t>-</t>
        </is>
      </c>
      <c r="AF8" s="48" t="inlineStr">
        <is>
          <t>-</t>
        </is>
      </c>
      <c r="AG8" s="39">
        <f>COUNTIF(B8:AE8, "P")</f>
        <v/>
      </c>
      <c r="AH8" s="15">
        <f>COUNTIF(B8:AE8, "CL")</f>
        <v/>
      </c>
      <c r="AI8" s="16">
        <f>COUNTIF(B8:AE8, "L")</f>
        <v/>
      </c>
      <c r="AJ8" s="17">
        <f>COUNTIF(B8:AE8, "WO")</f>
        <v/>
      </c>
      <c r="AK8" s="14">
        <f>COUNTIF(B8:AE8, "HO")</f>
        <v/>
      </c>
      <c r="AL8" s="18">
        <f>COUNTIF(B8:AE8, "CF")</f>
        <v/>
      </c>
      <c r="AM8" s="19">
        <f>AG8+AH8+AI8+AL8</f>
        <v/>
      </c>
      <c r="AN8" s="20">
        <f>IF(AM8&gt;0, AG8/AM8, 0)</f>
        <v/>
      </c>
    </row>
    <row r="9" ht="32" customHeight="1">
      <c r="A9" s="35" t="inlineStr">
        <is>
          <t>DR PRANAY
Doctor</t>
        </is>
      </c>
      <c r="B9" s="36" t="inlineStr">
        <is>
          <t>P</t>
        </is>
      </c>
      <c r="C9" s="36" t="inlineStr">
        <is>
          <t>P</t>
        </is>
      </c>
      <c r="D9" s="36" t="inlineStr">
        <is>
          <t>P</t>
        </is>
      </c>
      <c r="E9" s="36" t="inlineStr">
        <is>
          <t>P</t>
        </is>
      </c>
      <c r="F9" s="36" t="inlineStr">
        <is>
          <t>P</t>
        </is>
      </c>
      <c r="G9" s="36" t="inlineStr">
        <is>
          <t>P</t>
        </is>
      </c>
      <c r="H9" s="36" t="inlineStr">
        <is>
          <t>P</t>
        </is>
      </c>
      <c r="I9" s="36" t="inlineStr">
        <is>
          <t>P</t>
        </is>
      </c>
      <c r="J9" s="36" t="inlineStr">
        <is>
          <t>P</t>
        </is>
      </c>
      <c r="K9" s="36" t="inlineStr">
        <is>
          <t>P</t>
        </is>
      </c>
      <c r="L9" s="36" t="inlineStr">
        <is>
          <t>P</t>
        </is>
      </c>
      <c r="M9" s="36" t="inlineStr">
        <is>
          <t>P</t>
        </is>
      </c>
      <c r="N9" s="37" t="inlineStr">
        <is>
          <t>WO</t>
        </is>
      </c>
      <c r="O9" s="36" t="inlineStr">
        <is>
          <t>P</t>
        </is>
      </c>
      <c r="P9" s="36" t="inlineStr">
        <is>
          <t>P</t>
        </is>
      </c>
      <c r="Q9" s="36" t="inlineStr">
        <is>
          <t>P</t>
        </is>
      </c>
      <c r="R9" s="36" t="inlineStr">
        <is>
          <t>P</t>
        </is>
      </c>
      <c r="S9" s="36" t="inlineStr">
        <is>
          <t>P</t>
        </is>
      </c>
      <c r="T9" s="36" t="inlineStr">
        <is>
          <t>P</t>
        </is>
      </c>
      <c r="U9" s="36" t="inlineStr">
        <is>
          <t>P</t>
        </is>
      </c>
      <c r="V9" s="37" t="inlineStr">
        <is>
          <t>WO</t>
        </is>
      </c>
      <c r="W9" s="43" t="inlineStr">
        <is>
          <t>CF</t>
        </is>
      </c>
      <c r="X9" s="43" t="inlineStr">
        <is>
          <t>CF</t>
        </is>
      </c>
      <c r="Y9" s="42" t="inlineStr">
        <is>
          <t>L</t>
        </is>
      </c>
      <c r="Z9" s="42" t="inlineStr">
        <is>
          <t>L</t>
        </is>
      </c>
      <c r="AA9" s="36" t="inlineStr">
        <is>
          <t>P</t>
        </is>
      </c>
      <c r="AB9" s="36" t="inlineStr">
        <is>
          <t>P</t>
        </is>
      </c>
      <c r="AC9" s="36" t="inlineStr">
        <is>
          <t>P</t>
        </is>
      </c>
      <c r="AD9" s="36" t="inlineStr">
        <is>
          <t>P</t>
        </is>
      </c>
      <c r="AE9" s="38" t="inlineStr">
        <is>
          <t>-</t>
        </is>
      </c>
      <c r="AF9" s="48" t="inlineStr">
        <is>
          <t>-</t>
        </is>
      </c>
      <c r="AG9" s="39">
        <f>COUNTIF(B9:AE9, "P")</f>
        <v/>
      </c>
      <c r="AH9" s="15">
        <f>COUNTIF(B9:AE9, "CL")</f>
        <v/>
      </c>
      <c r="AI9" s="16">
        <f>COUNTIF(B9:AE9, "L")</f>
        <v/>
      </c>
      <c r="AJ9" s="17">
        <f>COUNTIF(B9:AE9, "WO")</f>
        <v/>
      </c>
      <c r="AK9" s="14">
        <f>COUNTIF(B9:AE9, "HO")</f>
        <v/>
      </c>
      <c r="AL9" s="18">
        <f>COUNTIF(B9:AE9, "CF")</f>
        <v/>
      </c>
      <c r="AM9" s="19">
        <f>AG9+AH9+AI9+AL9</f>
        <v/>
      </c>
      <c r="AN9" s="20">
        <f>IF(AM9&gt;0, AG9/AM9, 0)</f>
        <v/>
      </c>
    </row>
    <row r="10" ht="32" customHeight="1">
      <c r="A10" s="40" t="inlineStr">
        <is>
          <t>Ch Praveen Kumar
Employee</t>
        </is>
      </c>
      <c r="B10" s="36" t="inlineStr">
        <is>
          <t>P</t>
        </is>
      </c>
      <c r="C10" s="36" t="inlineStr">
        <is>
          <t>P</t>
        </is>
      </c>
      <c r="D10" s="36" t="inlineStr">
        <is>
          <t>P</t>
        </is>
      </c>
      <c r="E10" s="36" t="inlineStr">
        <is>
          <t>P</t>
        </is>
      </c>
      <c r="F10" s="36" t="inlineStr">
        <is>
          <t>P</t>
        </is>
      </c>
      <c r="G10" s="36" t="inlineStr">
        <is>
          <t>P</t>
        </is>
      </c>
      <c r="H10" s="36" t="inlineStr">
        <is>
          <t>P</t>
        </is>
      </c>
      <c r="I10" s="36" t="inlineStr">
        <is>
          <t>P</t>
        </is>
      </c>
      <c r="J10" s="36" t="inlineStr">
        <is>
          <t>P</t>
        </is>
      </c>
      <c r="K10" s="36" t="inlineStr">
        <is>
          <t>P</t>
        </is>
      </c>
      <c r="L10" s="36" t="inlineStr">
        <is>
          <t>P</t>
        </is>
      </c>
      <c r="M10" s="36" t="inlineStr">
        <is>
          <t>P</t>
        </is>
      </c>
      <c r="N10" s="36" t="inlineStr">
        <is>
          <t>P</t>
        </is>
      </c>
      <c r="O10" s="36" t="inlineStr">
        <is>
          <t>P</t>
        </is>
      </c>
      <c r="P10" s="36" t="inlineStr">
        <is>
          <t>P</t>
        </is>
      </c>
      <c r="Q10" s="36" t="inlineStr">
        <is>
          <t>P</t>
        </is>
      </c>
      <c r="R10" s="36" t="inlineStr">
        <is>
          <t>P</t>
        </is>
      </c>
      <c r="S10" s="36" t="inlineStr">
        <is>
          <t>P</t>
        </is>
      </c>
      <c r="T10" s="36" t="inlineStr">
        <is>
          <t>P</t>
        </is>
      </c>
      <c r="U10" s="36" t="inlineStr">
        <is>
          <t>P</t>
        </is>
      </c>
      <c r="V10" s="37" t="inlineStr">
        <is>
          <t>WO</t>
        </is>
      </c>
      <c r="W10" s="36" t="inlineStr">
        <is>
          <t>P</t>
        </is>
      </c>
      <c r="X10" s="36" t="inlineStr">
        <is>
          <t>P</t>
        </is>
      </c>
      <c r="Y10" s="36" t="inlineStr">
        <is>
          <t>P</t>
        </is>
      </c>
      <c r="Z10" s="36" t="inlineStr">
        <is>
          <t>P</t>
        </is>
      </c>
      <c r="AA10" s="36" t="inlineStr">
        <is>
          <t>P</t>
        </is>
      </c>
      <c r="AB10" s="36" t="inlineStr">
        <is>
          <t>P</t>
        </is>
      </c>
      <c r="AC10" s="37" t="inlineStr">
        <is>
          <t>WO</t>
        </is>
      </c>
      <c r="AD10" s="36" t="inlineStr">
        <is>
          <t>P</t>
        </is>
      </c>
      <c r="AE10" s="38" t="inlineStr">
        <is>
          <t>-</t>
        </is>
      </c>
      <c r="AF10" s="48" t="inlineStr">
        <is>
          <t>-</t>
        </is>
      </c>
      <c r="AG10" s="39">
        <f>COUNTIF(B10:AE10, "P")</f>
        <v/>
      </c>
      <c r="AH10" s="15">
        <f>COUNTIF(B10:AE10, "CL")</f>
        <v/>
      </c>
      <c r="AI10" s="16">
        <f>COUNTIF(B10:AE10, "L")</f>
        <v/>
      </c>
      <c r="AJ10" s="17">
        <f>COUNTIF(B10:AE10, "WO")</f>
        <v/>
      </c>
      <c r="AK10" s="14">
        <f>COUNTIF(B10:AE10, "HO")</f>
        <v/>
      </c>
      <c r="AL10" s="18">
        <f>COUNTIF(B10:AE10, "CF")</f>
        <v/>
      </c>
      <c r="AM10" s="19">
        <f>AG10+AH10+AI10+AL10</f>
        <v/>
      </c>
      <c r="AN10" s="20">
        <f>IF(AM10&gt;0, AG10/AM10, 0)</f>
        <v/>
      </c>
    </row>
    <row r="11" ht="32" customHeight="1">
      <c r="A11" s="35" t="inlineStr">
        <is>
          <t>NEELIMA
Employee</t>
        </is>
      </c>
      <c r="B11" s="36" t="inlineStr">
        <is>
          <t>P</t>
        </is>
      </c>
      <c r="C11" s="36" t="inlineStr">
        <is>
          <t>P</t>
        </is>
      </c>
      <c r="D11" s="36" t="inlineStr">
        <is>
          <t>P</t>
        </is>
      </c>
      <c r="E11" s="36" t="inlineStr">
        <is>
          <t>P</t>
        </is>
      </c>
      <c r="F11" s="36" t="inlineStr">
        <is>
          <t>P</t>
        </is>
      </c>
      <c r="G11" s="36" t="inlineStr">
        <is>
          <t>P</t>
        </is>
      </c>
      <c r="H11" s="37" t="inlineStr">
        <is>
          <t>WO</t>
        </is>
      </c>
      <c r="I11" s="36" t="inlineStr">
        <is>
          <t>P</t>
        </is>
      </c>
      <c r="J11" s="36" t="inlineStr">
        <is>
          <t>P</t>
        </is>
      </c>
      <c r="K11" s="36" t="inlineStr">
        <is>
          <t>P</t>
        </is>
      </c>
      <c r="L11" s="36" t="inlineStr">
        <is>
          <t>P</t>
        </is>
      </c>
      <c r="M11" s="36" t="inlineStr">
        <is>
          <t>P</t>
        </is>
      </c>
      <c r="N11" s="36" t="inlineStr">
        <is>
          <t>P</t>
        </is>
      </c>
      <c r="O11" s="36" t="inlineStr">
        <is>
          <t>P</t>
        </is>
      </c>
      <c r="P11" s="36" t="inlineStr">
        <is>
          <t>P</t>
        </is>
      </c>
      <c r="Q11" s="36" t="inlineStr">
        <is>
          <t>P</t>
        </is>
      </c>
      <c r="R11" s="36" t="inlineStr">
        <is>
          <t>P</t>
        </is>
      </c>
      <c r="S11" s="36" t="inlineStr">
        <is>
          <t>P</t>
        </is>
      </c>
      <c r="T11" s="36" t="inlineStr">
        <is>
          <t>P</t>
        </is>
      </c>
      <c r="U11" s="36" t="inlineStr">
        <is>
          <t>P</t>
        </is>
      </c>
      <c r="V11" s="37" t="inlineStr">
        <is>
          <t>WO</t>
        </is>
      </c>
      <c r="W11" s="36" t="inlineStr">
        <is>
          <t>P</t>
        </is>
      </c>
      <c r="X11" s="36" t="inlineStr">
        <is>
          <t>P</t>
        </is>
      </c>
      <c r="Y11" s="36" t="inlineStr">
        <is>
          <t>P</t>
        </is>
      </c>
      <c r="Z11" s="36" t="inlineStr">
        <is>
          <t>P</t>
        </is>
      </c>
      <c r="AA11" s="36" t="inlineStr">
        <is>
          <t>P</t>
        </is>
      </c>
      <c r="AB11" s="36" t="inlineStr">
        <is>
          <t>P</t>
        </is>
      </c>
      <c r="AC11" s="37" t="inlineStr">
        <is>
          <t>WO</t>
        </is>
      </c>
      <c r="AD11" s="36" t="inlineStr">
        <is>
          <t>P</t>
        </is>
      </c>
      <c r="AE11" s="38" t="inlineStr">
        <is>
          <t>-</t>
        </is>
      </c>
      <c r="AF11" s="48" t="inlineStr">
        <is>
          <t>-</t>
        </is>
      </c>
      <c r="AG11" s="39">
        <f>COUNTIF(B11:AE11, "P")</f>
        <v/>
      </c>
      <c r="AH11" s="15">
        <f>COUNTIF(B11:AE11, "CL")</f>
        <v/>
      </c>
      <c r="AI11" s="16">
        <f>COUNTIF(B11:AE11, "L")</f>
        <v/>
      </c>
      <c r="AJ11" s="17">
        <f>COUNTIF(B11:AE11, "WO")</f>
        <v/>
      </c>
      <c r="AK11" s="14">
        <f>COUNTIF(B11:AE11, "HO")</f>
        <v/>
      </c>
      <c r="AL11" s="18">
        <f>COUNTIF(B11:AE11, "CF")</f>
        <v/>
      </c>
      <c r="AM11" s="19">
        <f>AG11+AH11+AI11+AL11</f>
        <v/>
      </c>
      <c r="AN11" s="20">
        <f>IF(AM11&gt;0, AG11/AM11, 0)</f>
        <v/>
      </c>
    </row>
    <row r="12" ht="32" customHeight="1">
      <c r="A12" s="40" t="inlineStr">
        <is>
          <t>KAVITHA
Employee</t>
        </is>
      </c>
      <c r="B12" s="36" t="inlineStr">
        <is>
          <t>P</t>
        </is>
      </c>
      <c r="C12" s="36" t="inlineStr">
        <is>
          <t>P</t>
        </is>
      </c>
      <c r="D12" s="36" t="inlineStr">
        <is>
          <t>P</t>
        </is>
      </c>
      <c r="E12" s="36" t="inlineStr">
        <is>
          <t>P</t>
        </is>
      </c>
      <c r="F12" s="36" t="inlineStr">
        <is>
          <t>P</t>
        </is>
      </c>
      <c r="G12" s="36" t="inlineStr">
        <is>
          <t>P</t>
        </is>
      </c>
      <c r="H12" s="37" t="inlineStr">
        <is>
          <t>WO</t>
        </is>
      </c>
      <c r="I12" s="36" t="inlineStr">
        <is>
          <t>P</t>
        </is>
      </c>
      <c r="J12" s="36" t="inlineStr">
        <is>
          <t>P</t>
        </is>
      </c>
      <c r="K12" s="36" t="inlineStr">
        <is>
          <t>P</t>
        </is>
      </c>
      <c r="L12" s="36" t="inlineStr">
        <is>
          <t>P</t>
        </is>
      </c>
      <c r="M12" s="36" t="inlineStr">
        <is>
          <t>P</t>
        </is>
      </c>
      <c r="N12" s="36" t="inlineStr">
        <is>
          <t>P</t>
        </is>
      </c>
      <c r="O12" s="37" t="inlineStr">
        <is>
          <t>WO</t>
        </is>
      </c>
      <c r="P12" s="36" t="inlineStr">
        <is>
          <t>P</t>
        </is>
      </c>
      <c r="Q12" s="36" t="inlineStr">
        <is>
          <t>P</t>
        </is>
      </c>
      <c r="R12" s="36" t="inlineStr">
        <is>
          <t>P</t>
        </is>
      </c>
      <c r="S12" s="36" t="inlineStr">
        <is>
          <t>P</t>
        </is>
      </c>
      <c r="T12" s="36" t="inlineStr">
        <is>
          <t>P</t>
        </is>
      </c>
      <c r="U12" s="36" t="inlineStr">
        <is>
          <t>P</t>
        </is>
      </c>
      <c r="V12" s="37" t="inlineStr">
        <is>
          <t>WO</t>
        </is>
      </c>
      <c r="W12" s="36" t="inlineStr">
        <is>
          <t>P</t>
        </is>
      </c>
      <c r="X12" s="36" t="inlineStr">
        <is>
          <t>P</t>
        </is>
      </c>
      <c r="Y12" s="36" t="inlineStr">
        <is>
          <t>P</t>
        </is>
      </c>
      <c r="Z12" s="36" t="inlineStr">
        <is>
          <t>P</t>
        </is>
      </c>
      <c r="AA12" s="36" t="inlineStr">
        <is>
          <t>P</t>
        </is>
      </c>
      <c r="AB12" s="36" t="inlineStr">
        <is>
          <t>P</t>
        </is>
      </c>
      <c r="AC12" s="37" t="inlineStr">
        <is>
          <t>WO</t>
        </is>
      </c>
      <c r="AD12" s="36" t="inlineStr">
        <is>
          <t>P</t>
        </is>
      </c>
      <c r="AE12" s="38" t="inlineStr">
        <is>
          <t>-</t>
        </is>
      </c>
      <c r="AF12" s="48" t="inlineStr">
        <is>
          <t>-</t>
        </is>
      </c>
      <c r="AG12" s="39">
        <f>COUNTIF(B12:AE12, "P")</f>
        <v/>
      </c>
      <c r="AH12" s="15">
        <f>COUNTIF(B12:AE12, "CL")</f>
        <v/>
      </c>
      <c r="AI12" s="16">
        <f>COUNTIF(B12:AE12, "L")</f>
        <v/>
      </c>
      <c r="AJ12" s="17">
        <f>COUNTIF(B12:AE12, "WO")</f>
        <v/>
      </c>
      <c r="AK12" s="14">
        <f>COUNTIF(B12:AE12, "HO")</f>
        <v/>
      </c>
      <c r="AL12" s="18">
        <f>COUNTIF(B12:AE12, "CF")</f>
        <v/>
      </c>
      <c r="AM12" s="19">
        <f>AG12+AH12+AI12+AL12</f>
        <v/>
      </c>
      <c r="AN12" s="20">
        <f>IF(AM12&gt;0, AG12/AM12, 0)</f>
        <v/>
      </c>
    </row>
    <row r="13" ht="32" customHeight="1">
      <c r="A13" s="35" t="inlineStr">
        <is>
          <t>RAMESH
Employee</t>
        </is>
      </c>
      <c r="B13" s="36" t="inlineStr">
        <is>
          <t>P</t>
        </is>
      </c>
      <c r="C13" s="36" t="inlineStr">
        <is>
          <t>P</t>
        </is>
      </c>
      <c r="D13" s="36" t="inlineStr">
        <is>
          <t>P</t>
        </is>
      </c>
      <c r="E13" s="36" t="inlineStr">
        <is>
          <t>P</t>
        </is>
      </c>
      <c r="F13" s="36" t="inlineStr">
        <is>
          <t>P</t>
        </is>
      </c>
      <c r="G13" s="36" t="inlineStr">
        <is>
          <t>P</t>
        </is>
      </c>
      <c r="H13" s="37" t="inlineStr">
        <is>
          <t>WO</t>
        </is>
      </c>
      <c r="I13" s="36" t="inlineStr">
        <is>
          <t>P</t>
        </is>
      </c>
      <c r="J13" s="36" t="inlineStr">
        <is>
          <t>P</t>
        </is>
      </c>
      <c r="K13" s="36" t="inlineStr">
        <is>
          <t>P</t>
        </is>
      </c>
      <c r="L13" s="36" t="inlineStr">
        <is>
          <t>P</t>
        </is>
      </c>
      <c r="M13" s="36" t="inlineStr">
        <is>
          <t>P</t>
        </is>
      </c>
      <c r="N13" s="36" t="inlineStr">
        <is>
          <t>P</t>
        </is>
      </c>
      <c r="O13" s="37" t="inlineStr">
        <is>
          <t>WO</t>
        </is>
      </c>
      <c r="P13" s="36" t="inlineStr">
        <is>
          <t>P</t>
        </is>
      </c>
      <c r="Q13" s="36" t="inlineStr">
        <is>
          <t>P</t>
        </is>
      </c>
      <c r="R13" s="36" t="inlineStr">
        <is>
          <t>P</t>
        </is>
      </c>
      <c r="S13" s="36" t="inlineStr">
        <is>
          <t>P</t>
        </is>
      </c>
      <c r="T13" s="36" t="inlineStr">
        <is>
          <t>P</t>
        </is>
      </c>
      <c r="U13" s="36" t="inlineStr">
        <is>
          <t>P</t>
        </is>
      </c>
      <c r="V13" s="37" t="inlineStr">
        <is>
          <t>WO</t>
        </is>
      </c>
      <c r="W13" s="36" t="inlineStr">
        <is>
          <t>P</t>
        </is>
      </c>
      <c r="X13" s="36" t="inlineStr">
        <is>
          <t>P</t>
        </is>
      </c>
      <c r="Y13" s="36" t="inlineStr">
        <is>
          <t>P</t>
        </is>
      </c>
      <c r="Z13" s="36" t="inlineStr">
        <is>
          <t>P</t>
        </is>
      </c>
      <c r="AA13" s="36" t="inlineStr">
        <is>
          <t>P</t>
        </is>
      </c>
      <c r="AB13" s="36" t="inlineStr">
        <is>
          <t>P</t>
        </is>
      </c>
      <c r="AC13" s="37" t="inlineStr">
        <is>
          <t>WO</t>
        </is>
      </c>
      <c r="AD13" s="36" t="inlineStr">
        <is>
          <t>P</t>
        </is>
      </c>
      <c r="AE13" s="38" t="inlineStr">
        <is>
          <t>-</t>
        </is>
      </c>
      <c r="AF13" s="48" t="inlineStr">
        <is>
          <t>-</t>
        </is>
      </c>
      <c r="AG13" s="39">
        <f>COUNTIF(B13:AE13, "P")</f>
        <v/>
      </c>
      <c r="AH13" s="15">
        <f>COUNTIF(B13:AE13, "CL")</f>
        <v/>
      </c>
      <c r="AI13" s="16">
        <f>COUNTIF(B13:AE13, "L")</f>
        <v/>
      </c>
      <c r="AJ13" s="17">
        <f>COUNTIF(B13:AE13, "WO")</f>
        <v/>
      </c>
      <c r="AK13" s="14">
        <f>COUNTIF(B13:AE13, "HO")</f>
        <v/>
      </c>
      <c r="AL13" s="18">
        <f>COUNTIF(B13:AE13, "CF")</f>
        <v/>
      </c>
      <c r="AM13" s="19">
        <f>AG13+AH13+AI13+AL13</f>
        <v/>
      </c>
      <c r="AN13" s="20">
        <f>IF(AM13&gt;0, AG13/AM13, 0)</f>
        <v/>
      </c>
    </row>
    <row r="14" ht="32" customHeight="1">
      <c r="A14" s="40" t="inlineStr">
        <is>
          <t>VANI
Employee</t>
        </is>
      </c>
      <c r="B14" s="36" t="inlineStr">
        <is>
          <t>P</t>
        </is>
      </c>
      <c r="C14" s="36" t="inlineStr">
        <is>
          <t>P</t>
        </is>
      </c>
      <c r="D14" s="36" t="inlineStr">
        <is>
          <t>P</t>
        </is>
      </c>
      <c r="E14" s="36" t="inlineStr">
        <is>
          <t>P</t>
        </is>
      </c>
      <c r="F14" s="36" t="inlineStr">
        <is>
          <t>P</t>
        </is>
      </c>
      <c r="G14" s="36" t="inlineStr">
        <is>
          <t>P</t>
        </is>
      </c>
      <c r="H14" s="37" t="inlineStr">
        <is>
          <t>WO</t>
        </is>
      </c>
      <c r="I14" s="36" t="inlineStr">
        <is>
          <t>P</t>
        </is>
      </c>
      <c r="J14" s="36" t="inlineStr">
        <is>
          <t>P</t>
        </is>
      </c>
      <c r="K14" s="36" t="inlineStr">
        <is>
          <t>P</t>
        </is>
      </c>
      <c r="L14" s="36" t="inlineStr">
        <is>
          <t>P</t>
        </is>
      </c>
      <c r="M14" s="36" t="inlineStr">
        <is>
          <t>P</t>
        </is>
      </c>
      <c r="N14" s="36" t="inlineStr">
        <is>
          <t>P</t>
        </is>
      </c>
      <c r="O14" s="37" t="inlineStr">
        <is>
          <t>WO</t>
        </is>
      </c>
      <c r="P14" s="36" t="inlineStr">
        <is>
          <t>P</t>
        </is>
      </c>
      <c r="Q14" s="36" t="inlineStr">
        <is>
          <t>P</t>
        </is>
      </c>
      <c r="R14" s="36" t="inlineStr">
        <is>
          <t>P</t>
        </is>
      </c>
      <c r="S14" s="36" t="inlineStr">
        <is>
          <t>P</t>
        </is>
      </c>
      <c r="T14" s="36" t="inlineStr">
        <is>
          <t>P</t>
        </is>
      </c>
      <c r="U14" s="36" t="inlineStr">
        <is>
          <t>P</t>
        </is>
      </c>
      <c r="V14" s="37" t="inlineStr">
        <is>
          <t>WO</t>
        </is>
      </c>
      <c r="W14" s="36" t="inlineStr">
        <is>
          <t>P</t>
        </is>
      </c>
      <c r="X14" s="36" t="inlineStr">
        <is>
          <t>P</t>
        </is>
      </c>
      <c r="Y14" s="36" t="inlineStr">
        <is>
          <t>P</t>
        </is>
      </c>
      <c r="Z14" s="36" t="inlineStr">
        <is>
          <t>P</t>
        </is>
      </c>
      <c r="AA14" s="36" t="inlineStr">
        <is>
          <t>P</t>
        </is>
      </c>
      <c r="AB14" s="36" t="inlineStr">
        <is>
          <t>P</t>
        </is>
      </c>
      <c r="AC14" s="37" t="inlineStr">
        <is>
          <t>WO</t>
        </is>
      </c>
      <c r="AD14" s="36" t="inlineStr">
        <is>
          <t>P</t>
        </is>
      </c>
      <c r="AE14" s="38" t="inlineStr">
        <is>
          <t>-</t>
        </is>
      </c>
      <c r="AF14" s="48" t="inlineStr">
        <is>
          <t>-</t>
        </is>
      </c>
      <c r="AG14" s="39">
        <f>COUNTIF(B14:AE14, "P")</f>
        <v/>
      </c>
      <c r="AH14" s="15">
        <f>COUNTIF(B14:AE14, "CL")</f>
        <v/>
      </c>
      <c r="AI14" s="16">
        <f>COUNTIF(B14:AE14, "L")</f>
        <v/>
      </c>
      <c r="AJ14" s="17">
        <f>COUNTIF(B14:AE14, "WO")</f>
        <v/>
      </c>
      <c r="AK14" s="14">
        <f>COUNTIF(B14:AE14, "HO")</f>
        <v/>
      </c>
      <c r="AL14" s="18">
        <f>COUNTIF(B14:AE14, "CF")</f>
        <v/>
      </c>
      <c r="AM14" s="19">
        <f>AG14+AH14+AI14+AL14</f>
        <v/>
      </c>
      <c r="AN14" s="20">
        <f>IF(AM14&gt;0, AG14/AM14, 0)</f>
        <v/>
      </c>
    </row>
    <row r="15" ht="32" customHeight="1">
      <c r="A15" s="35" t="inlineStr">
        <is>
          <t>PHANI
Employee</t>
        </is>
      </c>
      <c r="B15" s="36" t="inlineStr">
        <is>
          <t>P</t>
        </is>
      </c>
      <c r="C15" s="36" t="inlineStr">
        <is>
          <t>P</t>
        </is>
      </c>
      <c r="D15" s="37" t="inlineStr">
        <is>
          <t>WO</t>
        </is>
      </c>
      <c r="E15" s="36" t="inlineStr">
        <is>
          <t>P</t>
        </is>
      </c>
      <c r="F15" s="36" t="inlineStr">
        <is>
          <t>P</t>
        </is>
      </c>
      <c r="G15" s="36" t="inlineStr">
        <is>
          <t>P</t>
        </is>
      </c>
      <c r="H15" s="36" t="inlineStr">
        <is>
          <t>P</t>
        </is>
      </c>
      <c r="I15" s="37" t="inlineStr">
        <is>
          <t>WO</t>
        </is>
      </c>
      <c r="J15" s="36" t="inlineStr">
        <is>
          <t>P</t>
        </is>
      </c>
      <c r="K15" s="36" t="inlineStr">
        <is>
          <t>P</t>
        </is>
      </c>
      <c r="L15" s="36" t="inlineStr">
        <is>
          <t>P</t>
        </is>
      </c>
      <c r="M15" s="36" t="inlineStr">
        <is>
          <t>P</t>
        </is>
      </c>
      <c r="N15" s="36" t="inlineStr">
        <is>
          <t>P</t>
        </is>
      </c>
      <c r="O15" s="36" t="inlineStr">
        <is>
          <t>P</t>
        </is>
      </c>
      <c r="P15" s="36" t="inlineStr">
        <is>
          <t>P</t>
        </is>
      </c>
      <c r="Q15" s="36" t="inlineStr">
        <is>
          <t>P</t>
        </is>
      </c>
      <c r="R15" s="36" t="inlineStr">
        <is>
          <t>P</t>
        </is>
      </c>
      <c r="S15" s="37" t="inlineStr">
        <is>
          <t>WO</t>
        </is>
      </c>
      <c r="T15" s="41" t="inlineStr">
        <is>
          <t>CL</t>
        </is>
      </c>
      <c r="U15" s="36" t="inlineStr">
        <is>
          <t>P</t>
        </is>
      </c>
      <c r="V15" s="36" t="inlineStr">
        <is>
          <t>P</t>
        </is>
      </c>
      <c r="W15" s="36" t="inlineStr">
        <is>
          <t>P</t>
        </is>
      </c>
      <c r="X15" s="36" t="inlineStr">
        <is>
          <t>P</t>
        </is>
      </c>
      <c r="Y15" s="36" t="inlineStr">
        <is>
          <t>P</t>
        </is>
      </c>
      <c r="Z15" s="36" t="inlineStr">
        <is>
          <t>P</t>
        </is>
      </c>
      <c r="AA15" s="36" t="inlineStr">
        <is>
          <t>P</t>
        </is>
      </c>
      <c r="AB15" s="36" t="inlineStr">
        <is>
          <t>P</t>
        </is>
      </c>
      <c r="AC15" s="36" t="inlineStr">
        <is>
          <t>P</t>
        </is>
      </c>
      <c r="AD15" s="36" t="inlineStr">
        <is>
          <t>P</t>
        </is>
      </c>
      <c r="AE15" s="38" t="inlineStr">
        <is>
          <t>-</t>
        </is>
      </c>
      <c r="AF15" s="48" t="inlineStr">
        <is>
          <t>-</t>
        </is>
      </c>
      <c r="AG15" s="39">
        <f>COUNTIF(B15:AE15, "P")</f>
        <v/>
      </c>
      <c r="AH15" s="15">
        <f>COUNTIF(B15:AE15, "CL")</f>
        <v/>
      </c>
      <c r="AI15" s="16">
        <f>COUNTIF(B15:AE15, "L")</f>
        <v/>
      </c>
      <c r="AJ15" s="17">
        <f>COUNTIF(B15:AE15, "WO")</f>
        <v/>
      </c>
      <c r="AK15" s="14">
        <f>COUNTIF(B15:AE15, "HO")</f>
        <v/>
      </c>
      <c r="AL15" s="18">
        <f>COUNTIF(B15:AE15, "CF")</f>
        <v/>
      </c>
      <c r="AM15" s="19">
        <f>AG15+AH15+AI15+AL15</f>
        <v/>
      </c>
      <c r="AN15" s="20">
        <f>IF(AM15&gt;0, AG15/AM15, 0)</f>
        <v/>
      </c>
    </row>
    <row r="16" ht="32" customHeight="1">
      <c r="A16" s="40" t="inlineStr">
        <is>
          <t>MANI
Employee</t>
        </is>
      </c>
      <c r="B16" s="36" t="inlineStr">
        <is>
          <t>P</t>
        </is>
      </c>
      <c r="C16" s="36" t="inlineStr">
        <is>
          <t>P</t>
        </is>
      </c>
      <c r="D16" s="36" t="inlineStr">
        <is>
          <t>P</t>
        </is>
      </c>
      <c r="E16" s="36" t="inlineStr">
        <is>
          <t>P</t>
        </is>
      </c>
      <c r="F16" s="36" t="inlineStr">
        <is>
          <t>P</t>
        </is>
      </c>
      <c r="G16" s="36" t="inlineStr">
        <is>
          <t>P</t>
        </is>
      </c>
      <c r="H16" s="37" t="inlineStr">
        <is>
          <t>WO</t>
        </is>
      </c>
      <c r="I16" s="36" t="inlineStr">
        <is>
          <t>P</t>
        </is>
      </c>
      <c r="J16" s="41" t="inlineStr">
        <is>
          <t>CL</t>
        </is>
      </c>
      <c r="K16" s="36" t="inlineStr">
        <is>
          <t>P</t>
        </is>
      </c>
      <c r="L16" s="36" t="inlineStr">
        <is>
          <t>P</t>
        </is>
      </c>
      <c r="M16" s="36" t="inlineStr">
        <is>
          <t>P</t>
        </is>
      </c>
      <c r="N16" s="36" t="inlineStr">
        <is>
          <t>P</t>
        </is>
      </c>
      <c r="O16" s="37" t="inlineStr">
        <is>
          <t>WO</t>
        </is>
      </c>
      <c r="P16" s="36" t="inlineStr">
        <is>
          <t>P</t>
        </is>
      </c>
      <c r="Q16" s="36" t="inlineStr">
        <is>
          <t>P</t>
        </is>
      </c>
      <c r="R16" s="36" t="inlineStr">
        <is>
          <t>P</t>
        </is>
      </c>
      <c r="S16" s="36" t="inlineStr">
        <is>
          <t>P</t>
        </is>
      </c>
      <c r="T16" s="36" t="inlineStr">
        <is>
          <t>P</t>
        </is>
      </c>
      <c r="U16" s="36" t="inlineStr">
        <is>
          <t>P</t>
        </is>
      </c>
      <c r="V16" s="37" t="inlineStr">
        <is>
          <t>WO</t>
        </is>
      </c>
      <c r="W16" s="36" t="inlineStr">
        <is>
          <t>P</t>
        </is>
      </c>
      <c r="X16" s="36" t="inlineStr">
        <is>
          <t>P</t>
        </is>
      </c>
      <c r="Y16" s="36" t="inlineStr">
        <is>
          <t>P</t>
        </is>
      </c>
      <c r="Z16" s="36" t="inlineStr">
        <is>
          <t>P</t>
        </is>
      </c>
      <c r="AA16" s="36" t="inlineStr">
        <is>
          <t>P</t>
        </is>
      </c>
      <c r="AB16" s="36" t="inlineStr">
        <is>
          <t>P</t>
        </is>
      </c>
      <c r="AC16" s="37" t="inlineStr">
        <is>
          <t>WO</t>
        </is>
      </c>
      <c r="AD16" s="36" t="inlineStr">
        <is>
          <t>P</t>
        </is>
      </c>
      <c r="AE16" s="38" t="inlineStr">
        <is>
          <t>-</t>
        </is>
      </c>
      <c r="AF16" s="48" t="inlineStr">
        <is>
          <t>-</t>
        </is>
      </c>
      <c r="AG16" s="39">
        <f>COUNTIF(B16:AE16, "P")</f>
        <v/>
      </c>
      <c r="AH16" s="15">
        <f>COUNTIF(B16:AE16, "CL")</f>
        <v/>
      </c>
      <c r="AI16" s="16">
        <f>COUNTIF(B16:AE16, "L")</f>
        <v/>
      </c>
      <c r="AJ16" s="17">
        <f>COUNTIF(B16:AE16, "WO")</f>
        <v/>
      </c>
      <c r="AK16" s="14">
        <f>COUNTIF(B16:AE16, "HO")</f>
        <v/>
      </c>
      <c r="AL16" s="18">
        <f>COUNTIF(B16:AE16, "CF")</f>
        <v/>
      </c>
      <c r="AM16" s="19">
        <f>AG16+AH16+AI16+AL16</f>
        <v/>
      </c>
      <c r="AN16" s="20">
        <f>IF(AM16&gt;0, AG16/AM16, 0)</f>
        <v/>
      </c>
    </row>
    <row r="17" ht="32" customHeight="1">
      <c r="A17" s="35" t="inlineStr">
        <is>
          <t>SAI CHARAN
Employee</t>
        </is>
      </c>
      <c r="B17" s="36" t="inlineStr">
        <is>
          <t>P</t>
        </is>
      </c>
      <c r="C17" s="41" t="inlineStr">
        <is>
          <t>CL</t>
        </is>
      </c>
      <c r="D17" s="36" t="inlineStr">
        <is>
          <t>P</t>
        </is>
      </c>
      <c r="E17" s="36" t="inlineStr">
        <is>
          <t>P</t>
        </is>
      </c>
      <c r="F17" s="36" t="inlineStr">
        <is>
          <t>P</t>
        </is>
      </c>
      <c r="G17" s="36" t="inlineStr">
        <is>
          <t>P</t>
        </is>
      </c>
      <c r="H17" s="37" t="inlineStr">
        <is>
          <t>WO</t>
        </is>
      </c>
      <c r="I17" s="36" t="inlineStr">
        <is>
          <t>P</t>
        </is>
      </c>
      <c r="J17" s="36" t="inlineStr">
        <is>
          <t>P</t>
        </is>
      </c>
      <c r="K17" s="36" t="inlineStr">
        <is>
          <t>P</t>
        </is>
      </c>
      <c r="L17" s="36" t="inlineStr">
        <is>
          <t>P</t>
        </is>
      </c>
      <c r="M17" s="36" t="inlineStr">
        <is>
          <t>P</t>
        </is>
      </c>
      <c r="N17" s="36" t="inlineStr">
        <is>
          <t>P</t>
        </is>
      </c>
      <c r="O17" s="37" t="inlineStr">
        <is>
          <t>WO</t>
        </is>
      </c>
      <c r="P17" s="36" t="inlineStr">
        <is>
          <t>P</t>
        </is>
      </c>
      <c r="Q17" s="36" t="inlineStr">
        <is>
          <t>P</t>
        </is>
      </c>
      <c r="R17" s="36" t="inlineStr">
        <is>
          <t>P</t>
        </is>
      </c>
      <c r="S17" s="36" t="inlineStr">
        <is>
          <t>P</t>
        </is>
      </c>
      <c r="T17" s="36" t="inlineStr">
        <is>
          <t>P</t>
        </is>
      </c>
      <c r="U17" s="36" t="inlineStr">
        <is>
          <t>P</t>
        </is>
      </c>
      <c r="V17" s="37" t="inlineStr">
        <is>
          <t>WO</t>
        </is>
      </c>
      <c r="W17" s="36" t="inlineStr">
        <is>
          <t>P</t>
        </is>
      </c>
      <c r="X17" s="36" t="inlineStr">
        <is>
          <t>P</t>
        </is>
      </c>
      <c r="Y17" s="36" t="inlineStr">
        <is>
          <t>P</t>
        </is>
      </c>
      <c r="Z17" s="36" t="inlineStr">
        <is>
          <t>P</t>
        </is>
      </c>
      <c r="AA17" s="36" t="inlineStr">
        <is>
          <t>P</t>
        </is>
      </c>
      <c r="AB17" s="36" t="inlineStr">
        <is>
          <t>P</t>
        </is>
      </c>
      <c r="AC17" s="37" t="inlineStr">
        <is>
          <t>WO</t>
        </is>
      </c>
      <c r="AD17" s="36" t="inlineStr">
        <is>
          <t>P</t>
        </is>
      </c>
      <c r="AE17" s="38" t="inlineStr">
        <is>
          <t>-</t>
        </is>
      </c>
      <c r="AF17" s="48" t="inlineStr">
        <is>
          <t>-</t>
        </is>
      </c>
      <c r="AG17" s="39">
        <f>COUNTIF(B17:AE17, "P")</f>
        <v/>
      </c>
      <c r="AH17" s="15">
        <f>COUNTIF(B17:AE17, "CL")</f>
        <v/>
      </c>
      <c r="AI17" s="16">
        <f>COUNTIF(B17:AE17, "L")</f>
        <v/>
      </c>
      <c r="AJ17" s="17">
        <f>COUNTIF(B17:AE17, "WO")</f>
        <v/>
      </c>
      <c r="AK17" s="14">
        <f>COUNTIF(B17:AE17, "HO")</f>
        <v/>
      </c>
      <c r="AL17" s="18">
        <f>COUNTIF(B17:AE17, "CF")</f>
        <v/>
      </c>
      <c r="AM17" s="19">
        <f>AG17+AH17+AI17+AL17</f>
        <v/>
      </c>
      <c r="AN17" s="20">
        <f>IF(AM17&gt;0, AG17/AM17, 0)</f>
        <v/>
      </c>
    </row>
    <row r="18" ht="32" customHeight="1">
      <c r="A18" s="40" t="inlineStr">
        <is>
          <t>CHANIKYA
Employee</t>
        </is>
      </c>
      <c r="B18" s="41" t="inlineStr">
        <is>
          <t>CL</t>
        </is>
      </c>
      <c r="C18" s="43" t="inlineStr">
        <is>
          <t>CF</t>
        </is>
      </c>
      <c r="D18" s="43" t="inlineStr">
        <is>
          <t>CF</t>
        </is>
      </c>
      <c r="E18" s="36" t="inlineStr">
        <is>
          <t>P</t>
        </is>
      </c>
      <c r="F18" s="36" t="inlineStr">
        <is>
          <t>P</t>
        </is>
      </c>
      <c r="G18" s="36" t="inlineStr">
        <is>
          <t>P</t>
        </is>
      </c>
      <c r="H18" s="36" t="inlineStr">
        <is>
          <t>P</t>
        </is>
      </c>
      <c r="I18" s="36" t="inlineStr">
        <is>
          <t>P</t>
        </is>
      </c>
      <c r="J18" s="36" t="inlineStr">
        <is>
          <t>P</t>
        </is>
      </c>
      <c r="K18" s="36" t="inlineStr">
        <is>
          <t>P</t>
        </is>
      </c>
      <c r="L18" s="36" t="inlineStr">
        <is>
          <t>P</t>
        </is>
      </c>
      <c r="M18" s="36" t="inlineStr">
        <is>
          <t>P</t>
        </is>
      </c>
      <c r="N18" s="36" t="inlineStr">
        <is>
          <t>P</t>
        </is>
      </c>
      <c r="O18" s="36" t="inlineStr">
        <is>
          <t>P</t>
        </is>
      </c>
      <c r="P18" s="36" t="inlineStr">
        <is>
          <t>P</t>
        </is>
      </c>
      <c r="Q18" s="36" t="inlineStr">
        <is>
          <t>P</t>
        </is>
      </c>
      <c r="R18" s="36" t="inlineStr">
        <is>
          <t>P</t>
        </is>
      </c>
      <c r="S18" s="36" t="inlineStr">
        <is>
          <t>P</t>
        </is>
      </c>
      <c r="T18" s="36" t="inlineStr">
        <is>
          <t>P</t>
        </is>
      </c>
      <c r="U18" s="36" t="inlineStr">
        <is>
          <t>P</t>
        </is>
      </c>
      <c r="V18" s="36" t="inlineStr">
        <is>
          <t>P</t>
        </is>
      </c>
      <c r="W18" s="36" t="inlineStr">
        <is>
          <t>P</t>
        </is>
      </c>
      <c r="X18" s="36" t="inlineStr">
        <is>
          <t>P</t>
        </is>
      </c>
      <c r="Y18" s="36" t="inlineStr">
        <is>
          <t>P</t>
        </is>
      </c>
      <c r="Z18" s="36" t="inlineStr">
        <is>
          <t>P</t>
        </is>
      </c>
      <c r="AA18" s="36" t="inlineStr">
        <is>
          <t>P</t>
        </is>
      </c>
      <c r="AB18" s="36" t="inlineStr">
        <is>
          <t>P</t>
        </is>
      </c>
      <c r="AC18" s="37" t="inlineStr">
        <is>
          <t>WO</t>
        </is>
      </c>
      <c r="AD18" s="36" t="inlineStr">
        <is>
          <t>P</t>
        </is>
      </c>
      <c r="AE18" s="38" t="inlineStr">
        <is>
          <t>-</t>
        </is>
      </c>
      <c r="AF18" s="48" t="inlineStr">
        <is>
          <t>-</t>
        </is>
      </c>
      <c r="AG18" s="39">
        <f>COUNTIF(B18:AE18, "P")</f>
        <v/>
      </c>
      <c r="AH18" s="15">
        <f>COUNTIF(B18:AE18, "CL")</f>
        <v/>
      </c>
      <c r="AI18" s="16">
        <f>COUNTIF(B18:AE18, "L")</f>
        <v/>
      </c>
      <c r="AJ18" s="17">
        <f>COUNTIF(B18:AE18, "WO")</f>
        <v/>
      </c>
      <c r="AK18" s="14">
        <f>COUNTIF(B18:AE18, "HO")</f>
        <v/>
      </c>
      <c r="AL18" s="18">
        <f>COUNTIF(B18:AE18, "CF")</f>
        <v/>
      </c>
      <c r="AM18" s="19">
        <f>AG18+AH18+AI18+AL18</f>
        <v/>
      </c>
      <c r="AN18" s="20">
        <f>IF(AM18&gt;0, AG18/AM18, 0)</f>
        <v/>
      </c>
    </row>
    <row r="19" ht="32" customHeight="1">
      <c r="A19" s="35" t="inlineStr">
        <is>
          <t>VAIDEHI
Employee</t>
        </is>
      </c>
      <c r="B19" s="36" t="inlineStr">
        <is>
          <t>P</t>
        </is>
      </c>
      <c r="C19" s="36" t="inlineStr">
        <is>
          <t>P</t>
        </is>
      </c>
      <c r="D19" s="36" t="inlineStr">
        <is>
          <t>P</t>
        </is>
      </c>
      <c r="E19" s="36" t="inlineStr">
        <is>
          <t>P</t>
        </is>
      </c>
      <c r="F19" s="36" t="inlineStr">
        <is>
          <t>P</t>
        </is>
      </c>
      <c r="G19" s="36" t="inlineStr">
        <is>
          <t>P</t>
        </is>
      </c>
      <c r="H19" s="37" t="inlineStr">
        <is>
          <t>WO</t>
        </is>
      </c>
      <c r="I19" s="36" t="inlineStr">
        <is>
          <t>P</t>
        </is>
      </c>
      <c r="J19" s="36" t="inlineStr">
        <is>
          <t>P</t>
        </is>
      </c>
      <c r="K19" s="36" t="inlineStr">
        <is>
          <t>P</t>
        </is>
      </c>
      <c r="L19" s="36" t="inlineStr">
        <is>
          <t>P</t>
        </is>
      </c>
      <c r="M19" s="36" t="inlineStr">
        <is>
          <t>P</t>
        </is>
      </c>
      <c r="N19" s="36" t="inlineStr">
        <is>
          <t>P</t>
        </is>
      </c>
      <c r="O19" s="37" t="inlineStr">
        <is>
          <t>WO</t>
        </is>
      </c>
      <c r="P19" s="36" t="inlineStr">
        <is>
          <t>P</t>
        </is>
      </c>
      <c r="Q19" s="41" t="inlineStr">
        <is>
          <t>CL</t>
        </is>
      </c>
      <c r="R19" s="36" t="inlineStr">
        <is>
          <t>P</t>
        </is>
      </c>
      <c r="S19" s="36" t="inlineStr">
        <is>
          <t>P</t>
        </is>
      </c>
      <c r="T19" s="36" t="inlineStr">
        <is>
          <t>P</t>
        </is>
      </c>
      <c r="U19" s="36" t="inlineStr">
        <is>
          <t>P</t>
        </is>
      </c>
      <c r="V19" s="37" t="inlineStr">
        <is>
          <t>WO</t>
        </is>
      </c>
      <c r="W19" s="36" t="inlineStr">
        <is>
          <t>P</t>
        </is>
      </c>
      <c r="X19" s="36" t="inlineStr">
        <is>
          <t>P</t>
        </is>
      </c>
      <c r="Y19" s="36" t="inlineStr">
        <is>
          <t>P</t>
        </is>
      </c>
      <c r="Z19" s="36" t="inlineStr">
        <is>
          <t>P</t>
        </is>
      </c>
      <c r="AA19" s="42" t="inlineStr">
        <is>
          <t>L</t>
        </is>
      </c>
      <c r="AB19" s="42" t="inlineStr">
        <is>
          <t>L</t>
        </is>
      </c>
      <c r="AC19" s="37" t="inlineStr">
        <is>
          <t>WO</t>
        </is>
      </c>
      <c r="AD19" s="36" t="inlineStr">
        <is>
          <t>P</t>
        </is>
      </c>
      <c r="AE19" s="38" t="inlineStr">
        <is>
          <t>-</t>
        </is>
      </c>
      <c r="AF19" s="48" t="inlineStr">
        <is>
          <t>-</t>
        </is>
      </c>
      <c r="AG19" s="39">
        <f>COUNTIF(B19:AE19, "P")</f>
        <v/>
      </c>
      <c r="AH19" s="15">
        <f>COUNTIF(B19:AE19, "CL")</f>
        <v/>
      </c>
      <c r="AI19" s="16">
        <f>COUNTIF(B19:AE19, "L")</f>
        <v/>
      </c>
      <c r="AJ19" s="17">
        <f>COUNTIF(B19:AE19, "WO")</f>
        <v/>
      </c>
      <c r="AK19" s="14">
        <f>COUNTIF(B19:AE19, "HO")</f>
        <v/>
      </c>
      <c r="AL19" s="18">
        <f>COUNTIF(B19:AE19, "CF")</f>
        <v/>
      </c>
      <c r="AM19" s="19">
        <f>AG19+AH19+AI19+AL19</f>
        <v/>
      </c>
      <c r="AN19" s="20">
        <f>IF(AM19&gt;0, AG19/AM19, 0)</f>
        <v/>
      </c>
    </row>
    <row r="20" ht="32" customHeight="1">
      <c r="A20" s="40" t="inlineStr">
        <is>
          <t>LAXMINARAYANA
Employee</t>
        </is>
      </c>
      <c r="B20" s="36" t="inlineStr">
        <is>
          <t>P</t>
        </is>
      </c>
      <c r="C20" s="36" t="inlineStr">
        <is>
          <t>P</t>
        </is>
      </c>
      <c r="D20" s="36" t="inlineStr">
        <is>
          <t>P</t>
        </is>
      </c>
      <c r="E20" s="36" t="inlineStr">
        <is>
          <t>P</t>
        </is>
      </c>
      <c r="F20" s="36" t="inlineStr">
        <is>
          <t>P</t>
        </is>
      </c>
      <c r="G20" s="36" t="inlineStr">
        <is>
          <t>P</t>
        </is>
      </c>
      <c r="H20" s="37" t="inlineStr">
        <is>
          <t>WO</t>
        </is>
      </c>
      <c r="I20" s="36" t="inlineStr">
        <is>
          <t>P</t>
        </is>
      </c>
      <c r="J20" s="36" t="inlineStr">
        <is>
          <t>P</t>
        </is>
      </c>
      <c r="K20" s="36" t="inlineStr">
        <is>
          <t>P</t>
        </is>
      </c>
      <c r="L20" s="41" t="inlineStr">
        <is>
          <t>CL</t>
        </is>
      </c>
      <c r="M20" s="36" t="inlineStr">
        <is>
          <t>P</t>
        </is>
      </c>
      <c r="N20" s="36" t="inlineStr">
        <is>
          <t>P</t>
        </is>
      </c>
      <c r="O20" s="36" t="inlineStr">
        <is>
          <t>P</t>
        </is>
      </c>
      <c r="P20" s="36" t="inlineStr">
        <is>
          <t>P</t>
        </is>
      </c>
      <c r="Q20" s="36" t="inlineStr">
        <is>
          <t>P</t>
        </is>
      </c>
      <c r="R20" s="36" t="inlineStr">
        <is>
          <t>P</t>
        </is>
      </c>
      <c r="S20" s="36" t="inlineStr">
        <is>
          <t>P</t>
        </is>
      </c>
      <c r="T20" s="36" t="inlineStr">
        <is>
          <t>P</t>
        </is>
      </c>
      <c r="U20" s="36" t="inlineStr">
        <is>
          <t>P</t>
        </is>
      </c>
      <c r="V20" s="37" t="inlineStr">
        <is>
          <t>WO</t>
        </is>
      </c>
      <c r="W20" s="36" t="inlineStr">
        <is>
          <t>P</t>
        </is>
      </c>
      <c r="X20" s="36" t="inlineStr">
        <is>
          <t>P</t>
        </is>
      </c>
      <c r="Y20" s="43" t="inlineStr">
        <is>
          <t>CF</t>
        </is>
      </c>
      <c r="Z20" s="43" t="inlineStr">
        <is>
          <t>CF</t>
        </is>
      </c>
      <c r="AA20" s="43" t="inlineStr">
        <is>
          <t>CF</t>
        </is>
      </c>
      <c r="AB20" s="42" t="inlineStr">
        <is>
          <t>L</t>
        </is>
      </c>
      <c r="AC20" s="37" t="inlineStr">
        <is>
          <t>WO</t>
        </is>
      </c>
      <c r="AD20" s="36" t="inlineStr">
        <is>
          <t>P</t>
        </is>
      </c>
      <c r="AE20" s="38" t="inlineStr">
        <is>
          <t>-</t>
        </is>
      </c>
      <c r="AF20" s="48" t="inlineStr">
        <is>
          <t>-</t>
        </is>
      </c>
      <c r="AG20" s="39">
        <f>COUNTIF(B20:AE20, "P")</f>
        <v/>
      </c>
      <c r="AH20" s="15">
        <f>COUNTIF(B20:AE20, "CL")</f>
        <v/>
      </c>
      <c r="AI20" s="16">
        <f>COUNTIF(B20:AE20, "L")</f>
        <v/>
      </c>
      <c r="AJ20" s="17">
        <f>COUNTIF(B20:AE20, "WO")</f>
        <v/>
      </c>
      <c r="AK20" s="14">
        <f>COUNTIF(B20:AE20, "HO")</f>
        <v/>
      </c>
      <c r="AL20" s="18">
        <f>COUNTIF(B20:AE20, "CF")</f>
        <v/>
      </c>
      <c r="AM20" s="19">
        <f>AG20+AH20+AI20+AL20</f>
        <v/>
      </c>
      <c r="AN20" s="20">
        <f>IF(AM20&gt;0, AG20/AM20, 0)</f>
        <v/>
      </c>
    </row>
    <row r="21" ht="32" customHeight="1">
      <c r="A21" s="35" t="inlineStr">
        <is>
          <t>SIRISHA
Employee</t>
        </is>
      </c>
      <c r="B21" s="36" t="inlineStr">
        <is>
          <t>P</t>
        </is>
      </c>
      <c r="C21" s="36" t="inlineStr">
        <is>
          <t>P</t>
        </is>
      </c>
      <c r="D21" s="36" t="inlineStr">
        <is>
          <t>P</t>
        </is>
      </c>
      <c r="E21" s="36" t="inlineStr">
        <is>
          <t>P</t>
        </is>
      </c>
      <c r="F21" s="36" t="inlineStr">
        <is>
          <t>P</t>
        </is>
      </c>
      <c r="G21" s="36" t="inlineStr">
        <is>
          <t>P</t>
        </is>
      </c>
      <c r="H21" s="36" t="inlineStr">
        <is>
          <t>P</t>
        </is>
      </c>
      <c r="I21" s="41" t="inlineStr">
        <is>
          <t>CL</t>
        </is>
      </c>
      <c r="J21" s="43" t="inlineStr">
        <is>
          <t>CF</t>
        </is>
      </c>
      <c r="K21" s="43" t="inlineStr">
        <is>
          <t>CF</t>
        </is>
      </c>
      <c r="L21" s="43" t="inlineStr">
        <is>
          <t>CF</t>
        </is>
      </c>
      <c r="M21" s="42" t="inlineStr">
        <is>
          <t>L</t>
        </is>
      </c>
      <c r="N21" s="42" t="inlineStr">
        <is>
          <t>L</t>
        </is>
      </c>
      <c r="O21" s="37" t="inlineStr">
        <is>
          <t>WO</t>
        </is>
      </c>
      <c r="P21" s="42" t="inlineStr">
        <is>
          <t>L</t>
        </is>
      </c>
      <c r="Q21" s="36" t="inlineStr">
        <is>
          <t>P</t>
        </is>
      </c>
      <c r="R21" s="36" t="inlineStr">
        <is>
          <t>P</t>
        </is>
      </c>
      <c r="S21" s="36" t="inlineStr">
        <is>
          <t>P</t>
        </is>
      </c>
      <c r="T21" s="36" t="inlineStr">
        <is>
          <t>P</t>
        </is>
      </c>
      <c r="U21" s="36" t="inlineStr">
        <is>
          <t>P</t>
        </is>
      </c>
      <c r="V21" s="36" t="inlineStr">
        <is>
          <t>P</t>
        </is>
      </c>
      <c r="W21" s="36" t="inlineStr">
        <is>
          <t>P</t>
        </is>
      </c>
      <c r="X21" s="36" t="inlineStr">
        <is>
          <t>P</t>
        </is>
      </c>
      <c r="Y21" s="36" t="inlineStr">
        <is>
          <t>P</t>
        </is>
      </c>
      <c r="Z21" s="36" t="inlineStr">
        <is>
          <t>P</t>
        </is>
      </c>
      <c r="AA21" s="36" t="inlineStr">
        <is>
          <t>P</t>
        </is>
      </c>
      <c r="AB21" s="36" t="inlineStr">
        <is>
          <t>P</t>
        </is>
      </c>
      <c r="AC21" s="36" t="inlineStr">
        <is>
          <t>P</t>
        </is>
      </c>
      <c r="AD21" s="36" t="inlineStr">
        <is>
          <t>P</t>
        </is>
      </c>
      <c r="AE21" s="38" t="inlineStr">
        <is>
          <t>-</t>
        </is>
      </c>
      <c r="AF21" s="48" t="inlineStr">
        <is>
          <t>-</t>
        </is>
      </c>
      <c r="AG21" s="39">
        <f>COUNTIF(B21:AE21, "P")</f>
        <v/>
      </c>
      <c r="AH21" s="15">
        <f>COUNTIF(B21:AE21, "CL")</f>
        <v/>
      </c>
      <c r="AI21" s="16">
        <f>COUNTIF(B21:AE21, "L")</f>
        <v/>
      </c>
      <c r="AJ21" s="17">
        <f>COUNTIF(B21:AE21, "WO")</f>
        <v/>
      </c>
      <c r="AK21" s="14">
        <f>COUNTIF(B21:AE21, "HO")</f>
        <v/>
      </c>
      <c r="AL21" s="18">
        <f>COUNTIF(B21:AE21, "CF")</f>
        <v/>
      </c>
      <c r="AM21" s="19">
        <f>AG21+AH21+AI21+AL21</f>
        <v/>
      </c>
      <c r="AN21" s="20">
        <f>IF(AM21&gt;0, AG21/AM21, 0)</f>
        <v/>
      </c>
    </row>
    <row r="22" ht="32" customHeight="1">
      <c r="A22" s="40" t="inlineStr">
        <is>
          <t>PRAVEEN KUMAR
Employee</t>
        </is>
      </c>
      <c r="B22" s="38" t="inlineStr">
        <is>
          <t>-</t>
        </is>
      </c>
      <c r="C22" s="38" t="inlineStr">
        <is>
          <t>-</t>
        </is>
      </c>
      <c r="D22" s="38" t="inlineStr">
        <is>
          <t>-</t>
        </is>
      </c>
      <c r="E22" s="38" t="inlineStr">
        <is>
          <t>-</t>
        </is>
      </c>
      <c r="F22" s="38" t="inlineStr">
        <is>
          <t>-</t>
        </is>
      </c>
      <c r="G22" s="38" t="inlineStr">
        <is>
          <t>-</t>
        </is>
      </c>
      <c r="H22" s="38" t="inlineStr">
        <is>
          <t>-</t>
        </is>
      </c>
      <c r="I22" s="38" t="inlineStr">
        <is>
          <t>-</t>
        </is>
      </c>
      <c r="J22" s="38" t="inlineStr">
        <is>
          <t>-</t>
        </is>
      </c>
      <c r="K22" s="38" t="inlineStr">
        <is>
          <t>-</t>
        </is>
      </c>
      <c r="L22" s="38" t="inlineStr">
        <is>
          <t>-</t>
        </is>
      </c>
      <c r="M22" s="38" t="inlineStr">
        <is>
          <t>-</t>
        </is>
      </c>
      <c r="N22" s="38" t="inlineStr">
        <is>
          <t>-</t>
        </is>
      </c>
      <c r="O22" s="38" t="inlineStr">
        <is>
          <t>-</t>
        </is>
      </c>
      <c r="P22" s="38" t="inlineStr">
        <is>
          <t>-</t>
        </is>
      </c>
      <c r="Q22" s="38" t="inlineStr">
        <is>
          <t>-</t>
        </is>
      </c>
      <c r="R22" s="38" t="inlineStr">
        <is>
          <t>-</t>
        </is>
      </c>
      <c r="S22" s="38" t="inlineStr">
        <is>
          <t>-</t>
        </is>
      </c>
      <c r="T22" s="38" t="inlineStr">
        <is>
          <t>-</t>
        </is>
      </c>
      <c r="U22" s="38" t="inlineStr">
        <is>
          <t>-</t>
        </is>
      </c>
      <c r="V22" s="38" t="inlineStr">
        <is>
          <t>-</t>
        </is>
      </c>
      <c r="W22" s="38" t="inlineStr">
        <is>
          <t>-</t>
        </is>
      </c>
      <c r="X22" s="38" t="inlineStr">
        <is>
          <t>-</t>
        </is>
      </c>
      <c r="Y22" s="38" t="inlineStr">
        <is>
          <t>-</t>
        </is>
      </c>
      <c r="Z22" s="38" t="inlineStr">
        <is>
          <t>-</t>
        </is>
      </c>
      <c r="AA22" s="38" t="inlineStr">
        <is>
          <t>-</t>
        </is>
      </c>
      <c r="AB22" s="38" t="inlineStr">
        <is>
          <t>-</t>
        </is>
      </c>
      <c r="AC22" s="38" t="inlineStr">
        <is>
          <t>-</t>
        </is>
      </c>
      <c r="AD22" s="38" t="inlineStr">
        <is>
          <t>-</t>
        </is>
      </c>
      <c r="AE22" s="38" t="inlineStr">
        <is>
          <t>-</t>
        </is>
      </c>
      <c r="AF22" s="48" t="inlineStr">
        <is>
          <t>-</t>
        </is>
      </c>
      <c r="AG22" s="39">
        <f>COUNTIF(B22:AE22, "P")</f>
        <v/>
      </c>
      <c r="AH22" s="15">
        <f>COUNTIF(B22:AE22, "CL")</f>
        <v/>
      </c>
      <c r="AI22" s="16">
        <f>COUNTIF(B22:AE22, "L")</f>
        <v/>
      </c>
      <c r="AJ22" s="17">
        <f>COUNTIF(B22:AE22, "WO")</f>
        <v/>
      </c>
      <c r="AK22" s="14">
        <f>COUNTIF(B22:AE22, "HO")</f>
        <v/>
      </c>
      <c r="AL22" s="18">
        <f>COUNTIF(B22:AE22, "CF")</f>
        <v/>
      </c>
      <c r="AM22" s="19">
        <f>AG22+AH22+AI22+AL22</f>
        <v/>
      </c>
      <c r="AN22" s="20">
        <f>IF(AM22&gt;0, AG22/AM22, 0)</f>
        <v/>
      </c>
    </row>
    <row r="23" ht="32" customHeight="1">
      <c r="A23" s="35" t="inlineStr">
        <is>
          <t>RAVALI
Employee</t>
        </is>
      </c>
      <c r="B23" s="38" t="inlineStr">
        <is>
          <t>-</t>
        </is>
      </c>
      <c r="C23" s="38" t="inlineStr">
        <is>
          <t>-</t>
        </is>
      </c>
      <c r="D23" s="38" t="inlineStr">
        <is>
          <t>-</t>
        </is>
      </c>
      <c r="E23" s="38" t="inlineStr">
        <is>
          <t>-</t>
        </is>
      </c>
      <c r="F23" s="38" t="inlineStr">
        <is>
          <t>-</t>
        </is>
      </c>
      <c r="G23" s="38" t="inlineStr">
        <is>
          <t>-</t>
        </is>
      </c>
      <c r="H23" s="38" t="inlineStr">
        <is>
          <t>-</t>
        </is>
      </c>
      <c r="I23" s="38" t="inlineStr">
        <is>
          <t>-</t>
        </is>
      </c>
      <c r="J23" s="38" t="inlineStr">
        <is>
          <t>-</t>
        </is>
      </c>
      <c r="K23" s="38" t="inlineStr">
        <is>
          <t>-</t>
        </is>
      </c>
      <c r="L23" s="38" t="inlineStr">
        <is>
          <t>-</t>
        </is>
      </c>
      <c r="M23" s="38" t="inlineStr">
        <is>
          <t>-</t>
        </is>
      </c>
      <c r="N23" s="38" t="inlineStr">
        <is>
          <t>-</t>
        </is>
      </c>
      <c r="O23" s="38" t="inlineStr">
        <is>
          <t>-</t>
        </is>
      </c>
      <c r="P23" s="38" t="inlineStr">
        <is>
          <t>-</t>
        </is>
      </c>
      <c r="Q23" s="38" t="inlineStr">
        <is>
          <t>-</t>
        </is>
      </c>
      <c r="R23" s="38" t="inlineStr">
        <is>
          <t>-</t>
        </is>
      </c>
      <c r="S23" s="38" t="inlineStr">
        <is>
          <t>-</t>
        </is>
      </c>
      <c r="T23" s="38" t="inlineStr">
        <is>
          <t>-</t>
        </is>
      </c>
      <c r="U23" s="38" t="inlineStr">
        <is>
          <t>-</t>
        </is>
      </c>
      <c r="V23" s="38" t="inlineStr">
        <is>
          <t>-</t>
        </is>
      </c>
      <c r="W23" s="38" t="inlineStr">
        <is>
          <t>-</t>
        </is>
      </c>
      <c r="X23" s="38" t="inlineStr">
        <is>
          <t>-</t>
        </is>
      </c>
      <c r="Y23" s="38" t="inlineStr">
        <is>
          <t>-</t>
        </is>
      </c>
      <c r="Z23" s="38" t="inlineStr">
        <is>
          <t>-</t>
        </is>
      </c>
      <c r="AA23" s="38" t="inlineStr">
        <is>
          <t>-</t>
        </is>
      </c>
      <c r="AB23" s="38" t="inlineStr">
        <is>
          <t>-</t>
        </is>
      </c>
      <c r="AC23" s="38" t="inlineStr">
        <is>
          <t>-</t>
        </is>
      </c>
      <c r="AD23" s="38" t="inlineStr">
        <is>
          <t>-</t>
        </is>
      </c>
      <c r="AE23" s="38" t="inlineStr">
        <is>
          <t>-</t>
        </is>
      </c>
      <c r="AF23" s="48" t="inlineStr">
        <is>
          <t>-</t>
        </is>
      </c>
      <c r="AG23" s="39">
        <f>COUNTIF(B23:AE23, "P")</f>
        <v/>
      </c>
      <c r="AH23" s="15">
        <f>COUNTIF(B23:AE23, "CL")</f>
        <v/>
      </c>
      <c r="AI23" s="16">
        <f>COUNTIF(B23:AE23, "L")</f>
        <v/>
      </c>
      <c r="AJ23" s="17">
        <f>COUNTIF(B23:AE23, "WO")</f>
        <v/>
      </c>
      <c r="AK23" s="14">
        <f>COUNTIF(B23:AE23, "HO")</f>
        <v/>
      </c>
      <c r="AL23" s="18">
        <f>COUNTIF(B23:AE23, "CF")</f>
        <v/>
      </c>
      <c r="AM23" s="19">
        <f>AG23+AH23+AI23+AL23</f>
        <v/>
      </c>
      <c r="AN23" s="20">
        <f>IF(AM23&gt;0, AG23/AM23, 0)</f>
        <v/>
      </c>
    </row>
    <row r="24" ht="32" customHeight="1">
      <c r="A24" s="40" t="inlineStr">
        <is>
          <t>SAI KUMAR
Employee</t>
        </is>
      </c>
      <c r="B24" s="38" t="inlineStr">
        <is>
          <t>-</t>
        </is>
      </c>
      <c r="C24" s="38" t="inlineStr">
        <is>
          <t>-</t>
        </is>
      </c>
      <c r="D24" s="38" t="inlineStr">
        <is>
          <t>-</t>
        </is>
      </c>
      <c r="E24" s="38" t="inlineStr">
        <is>
          <t>-</t>
        </is>
      </c>
      <c r="F24" s="38" t="inlineStr">
        <is>
          <t>-</t>
        </is>
      </c>
      <c r="G24" s="38" t="inlineStr">
        <is>
          <t>-</t>
        </is>
      </c>
      <c r="H24" s="38" t="inlineStr">
        <is>
          <t>-</t>
        </is>
      </c>
      <c r="I24" s="38" t="inlineStr">
        <is>
          <t>-</t>
        </is>
      </c>
      <c r="J24" s="38" t="inlineStr">
        <is>
          <t>-</t>
        </is>
      </c>
      <c r="K24" s="38" t="inlineStr">
        <is>
          <t>-</t>
        </is>
      </c>
      <c r="L24" s="38" t="inlineStr">
        <is>
          <t>-</t>
        </is>
      </c>
      <c r="M24" s="38" t="inlineStr">
        <is>
          <t>-</t>
        </is>
      </c>
      <c r="N24" s="38" t="inlineStr">
        <is>
          <t>-</t>
        </is>
      </c>
      <c r="O24" s="38" t="inlineStr">
        <is>
          <t>-</t>
        </is>
      </c>
      <c r="P24" s="38" t="inlineStr">
        <is>
          <t>-</t>
        </is>
      </c>
      <c r="Q24" s="38" t="inlineStr">
        <is>
          <t>-</t>
        </is>
      </c>
      <c r="R24" s="38" t="inlineStr">
        <is>
          <t>-</t>
        </is>
      </c>
      <c r="S24" s="38" t="inlineStr">
        <is>
          <t>-</t>
        </is>
      </c>
      <c r="T24" s="38" t="inlineStr">
        <is>
          <t>-</t>
        </is>
      </c>
      <c r="U24" s="38" t="inlineStr">
        <is>
          <t>-</t>
        </is>
      </c>
      <c r="V24" s="38" t="inlineStr">
        <is>
          <t>-</t>
        </is>
      </c>
      <c r="W24" s="38" t="inlineStr">
        <is>
          <t>-</t>
        </is>
      </c>
      <c r="X24" s="38" t="inlineStr">
        <is>
          <t>-</t>
        </is>
      </c>
      <c r="Y24" s="38" t="inlineStr">
        <is>
          <t>-</t>
        </is>
      </c>
      <c r="Z24" s="38" t="inlineStr">
        <is>
          <t>-</t>
        </is>
      </c>
      <c r="AA24" s="38" t="inlineStr">
        <is>
          <t>-</t>
        </is>
      </c>
      <c r="AB24" s="38" t="inlineStr">
        <is>
          <t>-</t>
        </is>
      </c>
      <c r="AC24" s="38" t="inlineStr">
        <is>
          <t>-</t>
        </is>
      </c>
      <c r="AD24" s="38" t="inlineStr">
        <is>
          <t>-</t>
        </is>
      </c>
      <c r="AE24" s="38" t="inlineStr">
        <is>
          <t>-</t>
        </is>
      </c>
      <c r="AF24" s="48" t="inlineStr">
        <is>
          <t>-</t>
        </is>
      </c>
      <c r="AG24" s="39">
        <f>COUNTIF(B24:AE24, "P")</f>
        <v/>
      </c>
      <c r="AH24" s="15">
        <f>COUNTIF(B24:AE24, "CL")</f>
        <v/>
      </c>
      <c r="AI24" s="16">
        <f>COUNTIF(B24:AE24, "L")</f>
        <v/>
      </c>
      <c r="AJ24" s="17">
        <f>COUNTIF(B24:AE24, "WO")</f>
        <v/>
      </c>
      <c r="AK24" s="14">
        <f>COUNTIF(B24:AE24, "HO")</f>
        <v/>
      </c>
      <c r="AL24" s="18">
        <f>COUNTIF(B24:AE24, "CF")</f>
        <v/>
      </c>
      <c r="AM24" s="19">
        <f>AG24+AH24+AI24+AL24</f>
        <v/>
      </c>
      <c r="AN24" s="20">
        <f>IF(AM24&gt;0, AG24/AM24, 0)</f>
        <v/>
      </c>
    </row>
    <row r="25" ht="32" customHeight="1">
      <c r="A25" s="35" t="inlineStr">
        <is>
          <t>VAISHNAVI
Employee</t>
        </is>
      </c>
      <c r="B25" s="38" t="inlineStr">
        <is>
          <t>-</t>
        </is>
      </c>
      <c r="C25" s="38" t="inlineStr">
        <is>
          <t>-</t>
        </is>
      </c>
      <c r="D25" s="38" t="inlineStr">
        <is>
          <t>-</t>
        </is>
      </c>
      <c r="E25" s="38" t="inlineStr">
        <is>
          <t>-</t>
        </is>
      </c>
      <c r="F25" s="38" t="inlineStr">
        <is>
          <t>-</t>
        </is>
      </c>
      <c r="G25" s="38" t="inlineStr">
        <is>
          <t>-</t>
        </is>
      </c>
      <c r="H25" s="38" t="inlineStr">
        <is>
          <t>-</t>
        </is>
      </c>
      <c r="I25" s="38" t="inlineStr">
        <is>
          <t>-</t>
        </is>
      </c>
      <c r="J25" s="38" t="inlineStr">
        <is>
          <t>-</t>
        </is>
      </c>
      <c r="K25" s="38" t="inlineStr">
        <is>
          <t>-</t>
        </is>
      </c>
      <c r="L25" s="38" t="inlineStr">
        <is>
          <t>-</t>
        </is>
      </c>
      <c r="M25" s="38" t="inlineStr">
        <is>
          <t>-</t>
        </is>
      </c>
      <c r="N25" s="38" t="inlineStr">
        <is>
          <t>-</t>
        </is>
      </c>
      <c r="O25" s="38" t="inlineStr">
        <is>
          <t>-</t>
        </is>
      </c>
      <c r="P25" s="38" t="inlineStr">
        <is>
          <t>-</t>
        </is>
      </c>
      <c r="Q25" s="38" t="inlineStr">
        <is>
          <t>-</t>
        </is>
      </c>
      <c r="R25" s="38" t="inlineStr">
        <is>
          <t>-</t>
        </is>
      </c>
      <c r="S25" s="38" t="inlineStr">
        <is>
          <t>-</t>
        </is>
      </c>
      <c r="T25" s="38" t="inlineStr">
        <is>
          <t>-</t>
        </is>
      </c>
      <c r="U25" s="38" t="inlineStr">
        <is>
          <t>-</t>
        </is>
      </c>
      <c r="V25" s="38" t="inlineStr">
        <is>
          <t>-</t>
        </is>
      </c>
      <c r="W25" s="38" t="inlineStr">
        <is>
          <t>-</t>
        </is>
      </c>
      <c r="X25" s="38" t="inlineStr">
        <is>
          <t>-</t>
        </is>
      </c>
      <c r="Y25" s="38" t="inlineStr">
        <is>
          <t>-</t>
        </is>
      </c>
      <c r="Z25" s="38" t="inlineStr">
        <is>
          <t>-</t>
        </is>
      </c>
      <c r="AA25" s="38" t="inlineStr">
        <is>
          <t>-</t>
        </is>
      </c>
      <c r="AB25" s="38" t="inlineStr">
        <is>
          <t>-</t>
        </is>
      </c>
      <c r="AC25" s="38" t="inlineStr">
        <is>
          <t>-</t>
        </is>
      </c>
      <c r="AD25" s="38" t="inlineStr">
        <is>
          <t>-</t>
        </is>
      </c>
      <c r="AE25" s="38" t="inlineStr">
        <is>
          <t>-</t>
        </is>
      </c>
      <c r="AF25" s="48" t="inlineStr">
        <is>
          <t>-</t>
        </is>
      </c>
      <c r="AG25" s="39">
        <f>COUNTIF(B25:AE25, "P")</f>
        <v/>
      </c>
      <c r="AH25" s="15">
        <f>COUNTIF(B25:AE25, "CL")</f>
        <v/>
      </c>
      <c r="AI25" s="16">
        <f>COUNTIF(B25:AE25, "L")</f>
        <v/>
      </c>
      <c r="AJ25" s="17">
        <f>COUNTIF(B25:AE25, "WO")</f>
        <v/>
      </c>
      <c r="AK25" s="14">
        <f>COUNTIF(B25:AE25, "HO")</f>
        <v/>
      </c>
      <c r="AL25" s="18">
        <f>COUNTIF(B25:AE25, "CF")</f>
        <v/>
      </c>
      <c r="AM25" s="19">
        <f>AG25+AH25+AI25+AL25</f>
        <v/>
      </c>
      <c r="AN25" s="20">
        <f>IF(AM25&gt;0, AG25/AM25, 0)</f>
        <v/>
      </c>
    </row>
    <row r="26" ht="32" customHeight="1">
      <c r="A26" s="40" t="inlineStr">
        <is>
          <t>VITTAL
Employee</t>
        </is>
      </c>
      <c r="B26" s="38" t="inlineStr">
        <is>
          <t>-</t>
        </is>
      </c>
      <c r="C26" s="38" t="inlineStr">
        <is>
          <t>-</t>
        </is>
      </c>
      <c r="D26" s="38" t="inlineStr">
        <is>
          <t>-</t>
        </is>
      </c>
      <c r="E26" s="38" t="inlineStr">
        <is>
          <t>-</t>
        </is>
      </c>
      <c r="F26" s="38" t="inlineStr">
        <is>
          <t>-</t>
        </is>
      </c>
      <c r="G26" s="38" t="inlineStr">
        <is>
          <t>-</t>
        </is>
      </c>
      <c r="H26" s="38" t="inlineStr">
        <is>
          <t>-</t>
        </is>
      </c>
      <c r="I26" s="38" t="inlineStr">
        <is>
          <t>-</t>
        </is>
      </c>
      <c r="J26" s="38" t="inlineStr">
        <is>
          <t>-</t>
        </is>
      </c>
      <c r="K26" s="38" t="inlineStr">
        <is>
          <t>-</t>
        </is>
      </c>
      <c r="L26" s="38" t="inlineStr">
        <is>
          <t>-</t>
        </is>
      </c>
      <c r="M26" s="38" t="inlineStr">
        <is>
          <t>-</t>
        </is>
      </c>
      <c r="N26" s="38" t="inlineStr">
        <is>
          <t>-</t>
        </is>
      </c>
      <c r="O26" s="38" t="inlineStr">
        <is>
          <t>-</t>
        </is>
      </c>
      <c r="P26" s="38" t="inlineStr">
        <is>
          <t>-</t>
        </is>
      </c>
      <c r="Q26" s="38" t="inlineStr">
        <is>
          <t>-</t>
        </is>
      </c>
      <c r="R26" s="38" t="inlineStr">
        <is>
          <t>-</t>
        </is>
      </c>
      <c r="S26" s="38" t="inlineStr">
        <is>
          <t>-</t>
        </is>
      </c>
      <c r="T26" s="38" t="inlineStr">
        <is>
          <t>-</t>
        </is>
      </c>
      <c r="U26" s="38" t="inlineStr">
        <is>
          <t>-</t>
        </is>
      </c>
      <c r="V26" s="38" t="inlineStr">
        <is>
          <t>-</t>
        </is>
      </c>
      <c r="W26" s="38" t="inlineStr">
        <is>
          <t>-</t>
        </is>
      </c>
      <c r="X26" s="38" t="inlineStr">
        <is>
          <t>-</t>
        </is>
      </c>
      <c r="Y26" s="38" t="inlineStr">
        <is>
          <t>-</t>
        </is>
      </c>
      <c r="Z26" s="38" t="inlineStr">
        <is>
          <t>-</t>
        </is>
      </c>
      <c r="AA26" s="38" t="inlineStr">
        <is>
          <t>-</t>
        </is>
      </c>
      <c r="AB26" s="38" t="inlineStr">
        <is>
          <t>-</t>
        </is>
      </c>
      <c r="AC26" s="38" t="inlineStr">
        <is>
          <t>-</t>
        </is>
      </c>
      <c r="AD26" s="38" t="inlineStr">
        <is>
          <t>-</t>
        </is>
      </c>
      <c r="AE26" s="38" t="inlineStr">
        <is>
          <t>-</t>
        </is>
      </c>
      <c r="AF26" s="48" t="inlineStr">
        <is>
          <t>-</t>
        </is>
      </c>
      <c r="AG26" s="39">
        <f>COUNTIF(B26:AE26, "P")</f>
        <v/>
      </c>
      <c r="AH26" s="15">
        <f>COUNTIF(B26:AE26, "CL")</f>
        <v/>
      </c>
      <c r="AI26" s="16">
        <f>COUNTIF(B26:AE26, "L")</f>
        <v/>
      </c>
      <c r="AJ26" s="17">
        <f>COUNTIF(B26:AE26, "WO")</f>
        <v/>
      </c>
      <c r="AK26" s="14">
        <f>COUNTIF(B26:AE26, "HO")</f>
        <v/>
      </c>
      <c r="AL26" s="18">
        <f>COUNTIF(B26:AE26, "CF")</f>
        <v/>
      </c>
      <c r="AM26" s="19">
        <f>AG26+AH26+AI26+AL26</f>
        <v/>
      </c>
      <c r="AN26" s="20">
        <f>IF(AM26&gt;0, AG26/AM26, 0)</f>
        <v/>
      </c>
    </row>
    <row r="27" ht="30" customHeight="1">
      <c r="A27" s="44" t="inlineStr">
        <is>
          <t>Overall Staff Total / Daily Present</t>
        </is>
      </c>
      <c r="B27" s="45">
        <f>COUNTIF(B5:B26, "P")</f>
        <v/>
      </c>
      <c r="C27" s="45">
        <f>COUNTIF(C5:C26, "P")</f>
        <v/>
      </c>
      <c r="D27" s="45">
        <f>COUNTIF(D5:D26, "P")</f>
        <v/>
      </c>
      <c r="E27" s="45">
        <f>COUNTIF(E5:E26, "P")</f>
        <v/>
      </c>
      <c r="F27" s="45">
        <f>COUNTIF(F5:F26, "P")</f>
        <v/>
      </c>
      <c r="G27" s="45">
        <f>COUNTIF(G5:G26, "P")</f>
        <v/>
      </c>
      <c r="H27" s="45">
        <f>COUNTIF(H5:H26, "P")</f>
        <v/>
      </c>
      <c r="I27" s="45">
        <f>COUNTIF(I5:I26, "P")</f>
        <v/>
      </c>
      <c r="J27" s="45">
        <f>COUNTIF(J5:J26, "P")</f>
        <v/>
      </c>
      <c r="K27" s="45">
        <f>COUNTIF(K5:K26, "P")</f>
        <v/>
      </c>
      <c r="L27" s="45">
        <f>COUNTIF(L5:L26, "P")</f>
        <v/>
      </c>
      <c r="M27" s="45">
        <f>COUNTIF(M5:M26, "P")</f>
        <v/>
      </c>
      <c r="N27" s="45">
        <f>COUNTIF(N5:N26, "P")</f>
        <v/>
      </c>
      <c r="O27" s="45">
        <f>COUNTIF(O5:O26, "P")</f>
        <v/>
      </c>
      <c r="P27" s="45">
        <f>COUNTIF(P5:P26, "P")</f>
        <v/>
      </c>
      <c r="Q27" s="45">
        <f>COUNTIF(Q5:Q26, "P")</f>
        <v/>
      </c>
      <c r="R27" s="45">
        <f>COUNTIF(R5:R26, "P")</f>
        <v/>
      </c>
      <c r="S27" s="45">
        <f>COUNTIF(S5:S26, "P")</f>
        <v/>
      </c>
      <c r="T27" s="45">
        <f>COUNTIF(T5:T26, "P")</f>
        <v/>
      </c>
      <c r="U27" s="45">
        <f>COUNTIF(U5:U26, "P")</f>
        <v/>
      </c>
      <c r="V27" s="45">
        <f>COUNTIF(V5:V26, "P")</f>
        <v/>
      </c>
      <c r="W27" s="45">
        <f>COUNTIF(W5:W26, "P")</f>
        <v/>
      </c>
      <c r="X27" s="45">
        <f>COUNTIF(X5:X26, "P")</f>
        <v/>
      </c>
      <c r="Y27" s="45">
        <f>COUNTIF(Y5:Y26, "P")</f>
        <v/>
      </c>
      <c r="Z27" s="45">
        <f>COUNTIF(Z5:Z26, "P")</f>
        <v/>
      </c>
      <c r="AA27" s="45">
        <f>COUNTIF(AA5:AA26, "P")</f>
        <v/>
      </c>
      <c r="AB27" s="45">
        <f>COUNTIF(AB5:AB26, "P")</f>
        <v/>
      </c>
      <c r="AC27" s="45">
        <f>COUNTIF(AC5:AC26, "P")</f>
        <v/>
      </c>
      <c r="AD27" s="45">
        <f>COUNTIF(AD5:AD26, "P")</f>
        <v/>
      </c>
      <c r="AE27" s="45">
        <f>COUNTIF(AE5:AE26, "P")</f>
        <v/>
      </c>
      <c r="AF27" s="49" t="inlineStr">
        <is>
          <t>-</t>
        </is>
      </c>
      <c r="AG27" s="46">
        <f>SUM(AG5:AG26)</f>
        <v/>
      </c>
      <c r="AH27" s="46">
        <f>SUM(AH5:AH26)</f>
        <v/>
      </c>
      <c r="AI27" s="46">
        <f>SUM(AI5:AI26)</f>
        <v/>
      </c>
      <c r="AJ27" s="46">
        <f>SUM(AJ5:AJ26)</f>
        <v/>
      </c>
      <c r="AK27" s="46">
        <f>SUM(AK5:AK26)</f>
        <v/>
      </c>
      <c r="AL27" s="46">
        <f>SUM(AL5:AL26)</f>
        <v/>
      </c>
      <c r="AM27" s="46">
        <f>SUM(AM5:AM26)</f>
        <v/>
      </c>
      <c r="AN27" s="24">
        <f>IF(AM27&gt;0, AG27/AM27, 0)</f>
        <v/>
      </c>
    </row>
  </sheetData>
  <mergeCells count="2">
    <mergeCell ref="A2:AN2"/>
    <mergeCell ref="A1:A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4.5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11" customWidth="1" min="39" max="39"/>
    <col width="14" customWidth="1" min="40" max="40"/>
  </cols>
  <sheetData>
    <row r="1" ht="36" customHeight="1">
      <c r="A1" s="25" t="inlineStr">
        <is>
          <t>VASUS ATTENDANCE TRACKER — APRIL 2026</t>
        </is>
      </c>
    </row>
    <row r="2" ht="24" customHeight="1">
      <c r="A2" s="2" t="inlineStr">
        <is>
          <t>Status Codes:  [P] Present (Green)  |  [CL] Casual Leave (Teal)  |  [L] Leave (Red)  |  [WO] Week Off (Purple)  |  [HO] Holiday (Mint)  |  [CF] Comp Off (Pink)  |  [-] Blank</t>
        </is>
      </c>
    </row>
    <row r="3" ht="10" customHeight="1"/>
    <row r="4" ht="36" customHeight="1">
      <c r="A4" s="26" t="inlineStr">
        <is>
          <t>Employee / Doctor</t>
        </is>
      </c>
      <c r="B4" s="27" t="inlineStr">
        <is>
          <t>1
Wed</t>
        </is>
      </c>
      <c r="C4" s="27" t="inlineStr">
        <is>
          <t>2
Thu</t>
        </is>
      </c>
      <c r="D4" s="27" t="inlineStr">
        <is>
          <t>3
Fri</t>
        </is>
      </c>
      <c r="E4" s="27" t="inlineStr">
        <is>
          <t>4
Sat</t>
        </is>
      </c>
      <c r="F4" s="27" t="inlineStr">
        <is>
          <t>5
Sun</t>
        </is>
      </c>
      <c r="G4" s="27" t="inlineStr">
        <is>
          <t>6
Mon</t>
        </is>
      </c>
      <c r="H4" s="27" t="inlineStr">
        <is>
          <t>7
Tue</t>
        </is>
      </c>
      <c r="I4" s="27" t="inlineStr">
        <is>
          <t>8
Wed</t>
        </is>
      </c>
      <c r="J4" s="27" t="inlineStr">
        <is>
          <t>9
Thu</t>
        </is>
      </c>
      <c r="K4" s="27" t="inlineStr">
        <is>
          <t>10
Fri</t>
        </is>
      </c>
      <c r="L4" s="27" t="inlineStr">
        <is>
          <t>11
Sat</t>
        </is>
      </c>
      <c r="M4" s="27" t="inlineStr">
        <is>
          <t>12
Sun</t>
        </is>
      </c>
      <c r="N4" s="27" t="inlineStr">
        <is>
          <t>13
Mon</t>
        </is>
      </c>
      <c r="O4" s="27" t="inlineStr">
        <is>
          <t>14
Tue</t>
        </is>
      </c>
      <c r="P4" s="27" t="inlineStr">
        <is>
          <t>15
Wed</t>
        </is>
      </c>
      <c r="Q4" s="27" t="inlineStr">
        <is>
          <t>16
Thu</t>
        </is>
      </c>
      <c r="R4" s="27" t="inlineStr">
        <is>
          <t>17
Fri</t>
        </is>
      </c>
      <c r="S4" s="27" t="inlineStr">
        <is>
          <t>18
Sat</t>
        </is>
      </c>
      <c r="T4" s="27" t="inlineStr">
        <is>
          <t>19
Sun</t>
        </is>
      </c>
      <c r="U4" s="27" t="inlineStr">
        <is>
          <t>20
Mon</t>
        </is>
      </c>
      <c r="V4" s="27" t="inlineStr">
        <is>
          <t>21
Tue</t>
        </is>
      </c>
      <c r="W4" s="27" t="inlineStr">
        <is>
          <t>22
Wed</t>
        </is>
      </c>
      <c r="X4" s="27" t="inlineStr">
        <is>
          <t>23
Thu</t>
        </is>
      </c>
      <c r="Y4" s="27" t="inlineStr">
        <is>
          <t>24
Fri</t>
        </is>
      </c>
      <c r="Z4" s="27" t="inlineStr">
        <is>
          <t>25
Sat</t>
        </is>
      </c>
      <c r="AA4" s="27" t="inlineStr">
        <is>
          <t>26
Sun</t>
        </is>
      </c>
      <c r="AB4" s="27" t="inlineStr">
        <is>
          <t>27
Mon</t>
        </is>
      </c>
      <c r="AC4" s="27" t="inlineStr">
        <is>
          <t>28
Tue</t>
        </is>
      </c>
      <c r="AD4" s="27" t="inlineStr">
        <is>
          <t>29
Wed</t>
        </is>
      </c>
      <c r="AE4" s="27" t="inlineStr">
        <is>
          <t>30
Thu</t>
        </is>
      </c>
      <c r="AF4" s="47" t="inlineStr">
        <is>
          <t>-</t>
        </is>
      </c>
      <c r="AG4" s="28" t="inlineStr">
        <is>
          <t>P</t>
        </is>
      </c>
      <c r="AH4" s="29" t="inlineStr">
        <is>
          <t>CL</t>
        </is>
      </c>
      <c r="AI4" s="30" t="inlineStr">
        <is>
          <t>L</t>
        </is>
      </c>
      <c r="AJ4" s="31" t="inlineStr">
        <is>
          <t>WO</t>
        </is>
      </c>
      <c r="AK4" s="32" t="inlineStr">
        <is>
          <t>HO</t>
        </is>
      </c>
      <c r="AL4" s="33" t="inlineStr">
        <is>
          <t>CF</t>
        </is>
      </c>
      <c r="AM4" s="27" t="inlineStr">
        <is>
          <t>Working
Days</t>
        </is>
      </c>
      <c r="AN4" s="34" t="inlineStr">
        <is>
          <t>Attendance
%</t>
        </is>
      </c>
    </row>
    <row r="5" ht="32" customHeight="1">
      <c r="A5" s="35" t="inlineStr">
        <is>
          <t>DR BINDU
Doctor</t>
        </is>
      </c>
      <c r="B5" s="38" t="inlineStr">
        <is>
          <t>-</t>
        </is>
      </c>
      <c r="C5" s="38" t="inlineStr">
        <is>
          <t>-</t>
        </is>
      </c>
      <c r="D5" s="38" t="inlineStr">
        <is>
          <t>-</t>
        </is>
      </c>
      <c r="E5" s="38" t="inlineStr">
        <is>
          <t>-</t>
        </is>
      </c>
      <c r="F5" s="38" t="inlineStr">
        <is>
          <t>-</t>
        </is>
      </c>
      <c r="G5" s="38" t="inlineStr">
        <is>
          <t>-</t>
        </is>
      </c>
      <c r="H5" s="38" t="inlineStr">
        <is>
          <t>-</t>
        </is>
      </c>
      <c r="I5" s="38" t="inlineStr">
        <is>
          <t>-</t>
        </is>
      </c>
      <c r="J5" s="38" t="inlineStr">
        <is>
          <t>-</t>
        </is>
      </c>
      <c r="K5" s="38" t="inlineStr">
        <is>
          <t>-</t>
        </is>
      </c>
      <c r="L5" s="38" t="inlineStr">
        <is>
          <t>-</t>
        </is>
      </c>
      <c r="M5" s="38" t="inlineStr">
        <is>
          <t>-</t>
        </is>
      </c>
      <c r="N5" s="38" t="inlineStr">
        <is>
          <t>-</t>
        </is>
      </c>
      <c r="O5" s="38" t="inlineStr">
        <is>
          <t>-</t>
        </is>
      </c>
      <c r="P5" s="38" t="inlineStr">
        <is>
          <t>-</t>
        </is>
      </c>
      <c r="Q5" s="38" t="inlineStr">
        <is>
          <t>-</t>
        </is>
      </c>
      <c r="R5" s="38" t="inlineStr">
        <is>
          <t>-</t>
        </is>
      </c>
      <c r="S5" s="38" t="inlineStr">
        <is>
          <t>-</t>
        </is>
      </c>
      <c r="T5" s="38" t="inlineStr">
        <is>
          <t>-</t>
        </is>
      </c>
      <c r="U5" s="38" t="inlineStr">
        <is>
          <t>-</t>
        </is>
      </c>
      <c r="V5" s="38" t="inlineStr">
        <is>
          <t>-</t>
        </is>
      </c>
      <c r="W5" s="38" t="inlineStr">
        <is>
          <t>-</t>
        </is>
      </c>
      <c r="X5" s="38" t="inlineStr">
        <is>
          <t>-</t>
        </is>
      </c>
      <c r="Y5" s="38" t="inlineStr">
        <is>
          <t>-</t>
        </is>
      </c>
      <c r="Z5" s="38" t="inlineStr">
        <is>
          <t>-</t>
        </is>
      </c>
      <c r="AA5" s="38" t="inlineStr">
        <is>
          <t>-</t>
        </is>
      </c>
      <c r="AB5" s="38" t="inlineStr">
        <is>
          <t>-</t>
        </is>
      </c>
      <c r="AC5" s="38" t="inlineStr">
        <is>
          <t>-</t>
        </is>
      </c>
      <c r="AD5" s="38" t="inlineStr">
        <is>
          <t>-</t>
        </is>
      </c>
      <c r="AE5" s="38" t="inlineStr">
        <is>
          <t>-</t>
        </is>
      </c>
      <c r="AF5" s="48" t="inlineStr">
        <is>
          <t>-</t>
        </is>
      </c>
      <c r="AG5" s="39">
        <f>COUNTIF(B5:AE5, "P")</f>
        <v/>
      </c>
      <c r="AH5" s="15">
        <f>COUNTIF(B5:AE5, "CL")</f>
        <v/>
      </c>
      <c r="AI5" s="16">
        <f>COUNTIF(B5:AE5, "L")</f>
        <v/>
      </c>
      <c r="AJ5" s="17">
        <f>COUNTIF(B5:AE5, "WO")</f>
        <v/>
      </c>
      <c r="AK5" s="14">
        <f>COUNTIF(B5:AE5, "HO")</f>
        <v/>
      </c>
      <c r="AL5" s="18">
        <f>COUNTIF(B5:AE5, "CF")</f>
        <v/>
      </c>
      <c r="AM5" s="19">
        <f>AG5+AH5+AI5+AL5</f>
        <v/>
      </c>
      <c r="AN5" s="20">
        <f>IF(AM5&gt;0, AG5/AM5, 0)</f>
        <v/>
      </c>
    </row>
    <row r="6" ht="32" customHeight="1">
      <c r="A6" s="40" t="inlineStr">
        <is>
          <t>DR CHINJU
Doctor</t>
        </is>
      </c>
      <c r="B6" s="38" t="inlineStr">
        <is>
          <t>-</t>
        </is>
      </c>
      <c r="C6" s="38" t="inlineStr">
        <is>
          <t>-</t>
        </is>
      </c>
      <c r="D6" s="38" t="inlineStr">
        <is>
          <t>-</t>
        </is>
      </c>
      <c r="E6" s="38" t="inlineStr">
        <is>
          <t>-</t>
        </is>
      </c>
      <c r="F6" s="38" t="inlineStr">
        <is>
          <t>-</t>
        </is>
      </c>
      <c r="G6" s="38" t="inlineStr">
        <is>
          <t>-</t>
        </is>
      </c>
      <c r="H6" s="38" t="inlineStr">
        <is>
          <t>-</t>
        </is>
      </c>
      <c r="I6" s="38" t="inlineStr">
        <is>
          <t>-</t>
        </is>
      </c>
      <c r="J6" s="38" t="inlineStr">
        <is>
          <t>-</t>
        </is>
      </c>
      <c r="K6" s="38" t="inlineStr">
        <is>
          <t>-</t>
        </is>
      </c>
      <c r="L6" s="38" t="inlineStr">
        <is>
          <t>-</t>
        </is>
      </c>
      <c r="M6" s="38" t="inlineStr">
        <is>
          <t>-</t>
        </is>
      </c>
      <c r="N6" s="38" t="inlineStr">
        <is>
          <t>-</t>
        </is>
      </c>
      <c r="O6" s="38" t="inlineStr">
        <is>
          <t>-</t>
        </is>
      </c>
      <c r="P6" s="38" t="inlineStr">
        <is>
          <t>-</t>
        </is>
      </c>
      <c r="Q6" s="38" t="inlineStr">
        <is>
          <t>-</t>
        </is>
      </c>
      <c r="R6" s="38" t="inlineStr">
        <is>
          <t>-</t>
        </is>
      </c>
      <c r="S6" s="38" t="inlineStr">
        <is>
          <t>-</t>
        </is>
      </c>
      <c r="T6" s="38" t="inlineStr">
        <is>
          <t>-</t>
        </is>
      </c>
      <c r="U6" s="38" t="inlineStr">
        <is>
          <t>-</t>
        </is>
      </c>
      <c r="V6" s="38" t="inlineStr">
        <is>
          <t>-</t>
        </is>
      </c>
      <c r="W6" s="38" t="inlineStr">
        <is>
          <t>-</t>
        </is>
      </c>
      <c r="X6" s="38" t="inlineStr">
        <is>
          <t>-</t>
        </is>
      </c>
      <c r="Y6" s="38" t="inlineStr">
        <is>
          <t>-</t>
        </is>
      </c>
      <c r="Z6" s="38" t="inlineStr">
        <is>
          <t>-</t>
        </is>
      </c>
      <c r="AA6" s="38" t="inlineStr">
        <is>
          <t>-</t>
        </is>
      </c>
      <c r="AB6" s="38" t="inlineStr">
        <is>
          <t>-</t>
        </is>
      </c>
      <c r="AC6" s="38" t="inlineStr">
        <is>
          <t>-</t>
        </is>
      </c>
      <c r="AD6" s="38" t="inlineStr">
        <is>
          <t>-</t>
        </is>
      </c>
      <c r="AE6" s="38" t="inlineStr">
        <is>
          <t>-</t>
        </is>
      </c>
      <c r="AF6" s="48" t="inlineStr">
        <is>
          <t>-</t>
        </is>
      </c>
      <c r="AG6" s="39">
        <f>COUNTIF(B6:AE6, "P")</f>
        <v/>
      </c>
      <c r="AH6" s="15">
        <f>COUNTIF(B6:AE6, "CL")</f>
        <v/>
      </c>
      <c r="AI6" s="16">
        <f>COUNTIF(B6:AE6, "L")</f>
        <v/>
      </c>
      <c r="AJ6" s="17">
        <f>COUNTIF(B6:AE6, "WO")</f>
        <v/>
      </c>
      <c r="AK6" s="14">
        <f>COUNTIF(B6:AE6, "HO")</f>
        <v/>
      </c>
      <c r="AL6" s="18">
        <f>COUNTIF(B6:AE6, "CF")</f>
        <v/>
      </c>
      <c r="AM6" s="19">
        <f>AG6+AH6+AI6+AL6</f>
        <v/>
      </c>
      <c r="AN6" s="20">
        <f>IF(AM6&gt;0, AG6/AM6, 0)</f>
        <v/>
      </c>
    </row>
    <row r="7" ht="32" customHeight="1">
      <c r="A7" s="35" t="inlineStr">
        <is>
          <t>DR PRANAY
Doctor</t>
        </is>
      </c>
      <c r="B7" s="38" t="inlineStr">
        <is>
          <t>-</t>
        </is>
      </c>
      <c r="C7" s="38" t="inlineStr">
        <is>
          <t>-</t>
        </is>
      </c>
      <c r="D7" s="38" t="inlineStr">
        <is>
          <t>-</t>
        </is>
      </c>
      <c r="E7" s="38" t="inlineStr">
        <is>
          <t>-</t>
        </is>
      </c>
      <c r="F7" s="38" t="inlineStr">
        <is>
          <t>-</t>
        </is>
      </c>
      <c r="G7" s="38" t="inlineStr">
        <is>
          <t>-</t>
        </is>
      </c>
      <c r="H7" s="38" t="inlineStr">
        <is>
          <t>-</t>
        </is>
      </c>
      <c r="I7" s="38" t="inlineStr">
        <is>
          <t>-</t>
        </is>
      </c>
      <c r="J7" s="38" t="inlineStr">
        <is>
          <t>-</t>
        </is>
      </c>
      <c r="K7" s="38" t="inlineStr">
        <is>
          <t>-</t>
        </is>
      </c>
      <c r="L7" s="38" t="inlineStr">
        <is>
          <t>-</t>
        </is>
      </c>
      <c r="M7" s="38" t="inlineStr">
        <is>
          <t>-</t>
        </is>
      </c>
      <c r="N7" s="38" t="inlineStr">
        <is>
          <t>-</t>
        </is>
      </c>
      <c r="O7" s="38" t="inlineStr">
        <is>
          <t>-</t>
        </is>
      </c>
      <c r="P7" s="38" t="inlineStr">
        <is>
          <t>-</t>
        </is>
      </c>
      <c r="Q7" s="38" t="inlineStr">
        <is>
          <t>-</t>
        </is>
      </c>
      <c r="R7" s="38" t="inlineStr">
        <is>
          <t>-</t>
        </is>
      </c>
      <c r="S7" s="38" t="inlineStr">
        <is>
          <t>-</t>
        </is>
      </c>
      <c r="T7" s="38" t="inlineStr">
        <is>
          <t>-</t>
        </is>
      </c>
      <c r="U7" s="38" t="inlineStr">
        <is>
          <t>-</t>
        </is>
      </c>
      <c r="V7" s="38" t="inlineStr">
        <is>
          <t>-</t>
        </is>
      </c>
      <c r="W7" s="38" t="inlineStr">
        <is>
          <t>-</t>
        </is>
      </c>
      <c r="X7" s="38" t="inlineStr">
        <is>
          <t>-</t>
        </is>
      </c>
      <c r="Y7" s="38" t="inlineStr">
        <is>
          <t>-</t>
        </is>
      </c>
      <c r="Z7" s="38" t="inlineStr">
        <is>
          <t>-</t>
        </is>
      </c>
      <c r="AA7" s="38" t="inlineStr">
        <is>
          <t>-</t>
        </is>
      </c>
      <c r="AB7" s="38" t="inlineStr">
        <is>
          <t>-</t>
        </is>
      </c>
      <c r="AC7" s="38" t="inlineStr">
        <is>
          <t>-</t>
        </is>
      </c>
      <c r="AD7" s="38" t="inlineStr">
        <is>
          <t>-</t>
        </is>
      </c>
      <c r="AE7" s="38" t="inlineStr">
        <is>
          <t>-</t>
        </is>
      </c>
      <c r="AF7" s="48" t="inlineStr">
        <is>
          <t>-</t>
        </is>
      </c>
      <c r="AG7" s="39">
        <f>COUNTIF(B7:AE7, "P")</f>
        <v/>
      </c>
      <c r="AH7" s="15">
        <f>COUNTIF(B7:AE7, "CL")</f>
        <v/>
      </c>
      <c r="AI7" s="16">
        <f>COUNTIF(B7:AE7, "L")</f>
        <v/>
      </c>
      <c r="AJ7" s="17">
        <f>COUNTIF(B7:AE7, "WO")</f>
        <v/>
      </c>
      <c r="AK7" s="14">
        <f>COUNTIF(B7:AE7, "HO")</f>
        <v/>
      </c>
      <c r="AL7" s="18">
        <f>COUNTIF(B7:AE7, "CF")</f>
        <v/>
      </c>
      <c r="AM7" s="19">
        <f>AG7+AH7+AI7+AL7</f>
        <v/>
      </c>
      <c r="AN7" s="20">
        <f>IF(AM7&gt;0, AG7/AM7, 0)</f>
        <v/>
      </c>
    </row>
    <row r="8" ht="32" customHeight="1">
      <c r="A8" s="40" t="inlineStr">
        <is>
          <t>DR SUNITHA
Doctor</t>
        </is>
      </c>
      <c r="B8" s="38" t="inlineStr">
        <is>
          <t>-</t>
        </is>
      </c>
      <c r="C8" s="38" t="inlineStr">
        <is>
          <t>-</t>
        </is>
      </c>
      <c r="D8" s="38" t="inlineStr">
        <is>
          <t>-</t>
        </is>
      </c>
      <c r="E8" s="38" t="inlineStr">
        <is>
          <t>-</t>
        </is>
      </c>
      <c r="F8" s="38" t="inlineStr">
        <is>
          <t>-</t>
        </is>
      </c>
      <c r="G8" s="38" t="inlineStr">
        <is>
          <t>-</t>
        </is>
      </c>
      <c r="H8" s="38" t="inlineStr">
        <is>
          <t>-</t>
        </is>
      </c>
      <c r="I8" s="38" t="inlineStr">
        <is>
          <t>-</t>
        </is>
      </c>
      <c r="J8" s="38" t="inlineStr">
        <is>
          <t>-</t>
        </is>
      </c>
      <c r="K8" s="38" t="inlineStr">
        <is>
          <t>-</t>
        </is>
      </c>
      <c r="L8" s="38" t="inlineStr">
        <is>
          <t>-</t>
        </is>
      </c>
      <c r="M8" s="38" t="inlineStr">
        <is>
          <t>-</t>
        </is>
      </c>
      <c r="N8" s="38" t="inlineStr">
        <is>
          <t>-</t>
        </is>
      </c>
      <c r="O8" s="38" t="inlineStr">
        <is>
          <t>-</t>
        </is>
      </c>
      <c r="P8" s="38" t="inlineStr">
        <is>
          <t>-</t>
        </is>
      </c>
      <c r="Q8" s="38" t="inlineStr">
        <is>
          <t>-</t>
        </is>
      </c>
      <c r="R8" s="38" t="inlineStr">
        <is>
          <t>-</t>
        </is>
      </c>
      <c r="S8" s="38" t="inlineStr">
        <is>
          <t>-</t>
        </is>
      </c>
      <c r="T8" s="38" t="inlineStr">
        <is>
          <t>-</t>
        </is>
      </c>
      <c r="U8" s="38" t="inlineStr">
        <is>
          <t>-</t>
        </is>
      </c>
      <c r="V8" s="38" t="inlineStr">
        <is>
          <t>-</t>
        </is>
      </c>
      <c r="W8" s="38" t="inlineStr">
        <is>
          <t>-</t>
        </is>
      </c>
      <c r="X8" s="38" t="inlineStr">
        <is>
          <t>-</t>
        </is>
      </c>
      <c r="Y8" s="38" t="inlineStr">
        <is>
          <t>-</t>
        </is>
      </c>
      <c r="Z8" s="38" t="inlineStr">
        <is>
          <t>-</t>
        </is>
      </c>
      <c r="AA8" s="38" t="inlineStr">
        <is>
          <t>-</t>
        </is>
      </c>
      <c r="AB8" s="38" t="inlineStr">
        <is>
          <t>-</t>
        </is>
      </c>
      <c r="AC8" s="38" t="inlineStr">
        <is>
          <t>-</t>
        </is>
      </c>
      <c r="AD8" s="38" t="inlineStr">
        <is>
          <t>-</t>
        </is>
      </c>
      <c r="AE8" s="38" t="inlineStr">
        <is>
          <t>-</t>
        </is>
      </c>
      <c r="AF8" s="48" t="inlineStr">
        <is>
          <t>-</t>
        </is>
      </c>
      <c r="AG8" s="39">
        <f>COUNTIF(B8:AE8, "P")</f>
        <v/>
      </c>
      <c r="AH8" s="15">
        <f>COUNTIF(B8:AE8, "CL")</f>
        <v/>
      </c>
      <c r="AI8" s="16">
        <f>COUNTIF(B8:AE8, "L")</f>
        <v/>
      </c>
      <c r="AJ8" s="17">
        <f>COUNTIF(B8:AE8, "WO")</f>
        <v/>
      </c>
      <c r="AK8" s="14">
        <f>COUNTIF(B8:AE8, "HO")</f>
        <v/>
      </c>
      <c r="AL8" s="18">
        <f>COUNTIF(B8:AE8, "CF")</f>
        <v/>
      </c>
      <c r="AM8" s="19">
        <f>AG8+AH8+AI8+AL8</f>
        <v/>
      </c>
      <c r="AN8" s="20">
        <f>IF(AM8&gt;0, AG8/AM8, 0)</f>
        <v/>
      </c>
    </row>
    <row r="9" ht="32" customHeight="1">
      <c r="A9" s="35" t="inlineStr">
        <is>
          <t>DR VARUN
Doctor</t>
        </is>
      </c>
      <c r="B9" s="38" t="inlineStr">
        <is>
          <t>-</t>
        </is>
      </c>
      <c r="C9" s="38" t="inlineStr">
        <is>
          <t>-</t>
        </is>
      </c>
      <c r="D9" s="38" t="inlineStr">
        <is>
          <t>-</t>
        </is>
      </c>
      <c r="E9" s="38" t="inlineStr">
        <is>
          <t>-</t>
        </is>
      </c>
      <c r="F9" s="38" t="inlineStr">
        <is>
          <t>-</t>
        </is>
      </c>
      <c r="G9" s="38" t="inlineStr">
        <is>
          <t>-</t>
        </is>
      </c>
      <c r="H9" s="38" t="inlineStr">
        <is>
          <t>-</t>
        </is>
      </c>
      <c r="I9" s="38" t="inlineStr">
        <is>
          <t>-</t>
        </is>
      </c>
      <c r="J9" s="38" t="inlineStr">
        <is>
          <t>-</t>
        </is>
      </c>
      <c r="K9" s="38" t="inlineStr">
        <is>
          <t>-</t>
        </is>
      </c>
      <c r="L9" s="38" t="inlineStr">
        <is>
          <t>-</t>
        </is>
      </c>
      <c r="M9" s="38" t="inlineStr">
        <is>
          <t>-</t>
        </is>
      </c>
      <c r="N9" s="38" t="inlineStr">
        <is>
          <t>-</t>
        </is>
      </c>
      <c r="O9" s="38" t="inlineStr">
        <is>
          <t>-</t>
        </is>
      </c>
      <c r="P9" s="38" t="inlineStr">
        <is>
          <t>-</t>
        </is>
      </c>
      <c r="Q9" s="38" t="inlineStr">
        <is>
          <t>-</t>
        </is>
      </c>
      <c r="R9" s="38" t="inlineStr">
        <is>
          <t>-</t>
        </is>
      </c>
      <c r="S9" s="38" t="inlineStr">
        <is>
          <t>-</t>
        </is>
      </c>
      <c r="T9" s="38" t="inlineStr">
        <is>
          <t>-</t>
        </is>
      </c>
      <c r="U9" s="38" t="inlineStr">
        <is>
          <t>-</t>
        </is>
      </c>
      <c r="V9" s="38" t="inlineStr">
        <is>
          <t>-</t>
        </is>
      </c>
      <c r="W9" s="38" t="inlineStr">
        <is>
          <t>-</t>
        </is>
      </c>
      <c r="X9" s="38" t="inlineStr">
        <is>
          <t>-</t>
        </is>
      </c>
      <c r="Y9" s="38" t="inlineStr">
        <is>
          <t>-</t>
        </is>
      </c>
      <c r="Z9" s="38" t="inlineStr">
        <is>
          <t>-</t>
        </is>
      </c>
      <c r="AA9" s="38" t="inlineStr">
        <is>
          <t>-</t>
        </is>
      </c>
      <c r="AB9" s="38" t="inlineStr">
        <is>
          <t>-</t>
        </is>
      </c>
      <c r="AC9" s="38" t="inlineStr">
        <is>
          <t>-</t>
        </is>
      </c>
      <c r="AD9" s="38" t="inlineStr">
        <is>
          <t>-</t>
        </is>
      </c>
      <c r="AE9" s="38" t="inlineStr">
        <is>
          <t>-</t>
        </is>
      </c>
      <c r="AF9" s="48" t="inlineStr">
        <is>
          <t>-</t>
        </is>
      </c>
      <c r="AG9" s="39">
        <f>COUNTIF(B9:AE9, "P")</f>
        <v/>
      </c>
      <c r="AH9" s="15">
        <f>COUNTIF(B9:AE9, "CL")</f>
        <v/>
      </c>
      <c r="AI9" s="16">
        <f>COUNTIF(B9:AE9, "L")</f>
        <v/>
      </c>
      <c r="AJ9" s="17">
        <f>COUNTIF(B9:AE9, "WO")</f>
        <v/>
      </c>
      <c r="AK9" s="14">
        <f>COUNTIF(B9:AE9, "HO")</f>
        <v/>
      </c>
      <c r="AL9" s="18">
        <f>COUNTIF(B9:AE9, "CF")</f>
        <v/>
      </c>
      <c r="AM9" s="19">
        <f>AG9+AH9+AI9+AL9</f>
        <v/>
      </c>
      <c r="AN9" s="20">
        <f>IF(AM9&gt;0, AG9/AM9, 0)</f>
        <v/>
      </c>
    </row>
    <row r="10" ht="32" customHeight="1">
      <c r="A10" s="40" t="inlineStr">
        <is>
          <t>CHANIKYA
Employee</t>
        </is>
      </c>
      <c r="B10" s="38" t="inlineStr">
        <is>
          <t>-</t>
        </is>
      </c>
      <c r="C10" s="38" t="inlineStr">
        <is>
          <t>-</t>
        </is>
      </c>
      <c r="D10" s="38" t="inlineStr">
        <is>
          <t>-</t>
        </is>
      </c>
      <c r="E10" s="38" t="inlineStr">
        <is>
          <t>-</t>
        </is>
      </c>
      <c r="F10" s="38" t="inlineStr">
        <is>
          <t>-</t>
        </is>
      </c>
      <c r="G10" s="38" t="inlineStr">
        <is>
          <t>-</t>
        </is>
      </c>
      <c r="H10" s="38" t="inlineStr">
        <is>
          <t>-</t>
        </is>
      </c>
      <c r="I10" s="38" t="inlineStr">
        <is>
          <t>-</t>
        </is>
      </c>
      <c r="J10" s="38" t="inlineStr">
        <is>
          <t>-</t>
        </is>
      </c>
      <c r="K10" s="38" t="inlineStr">
        <is>
          <t>-</t>
        </is>
      </c>
      <c r="L10" s="38" t="inlineStr">
        <is>
          <t>-</t>
        </is>
      </c>
      <c r="M10" s="38" t="inlineStr">
        <is>
          <t>-</t>
        </is>
      </c>
      <c r="N10" s="38" t="inlineStr">
        <is>
          <t>-</t>
        </is>
      </c>
      <c r="O10" s="38" t="inlineStr">
        <is>
          <t>-</t>
        </is>
      </c>
      <c r="P10" s="38" t="inlineStr">
        <is>
          <t>-</t>
        </is>
      </c>
      <c r="Q10" s="38" t="inlineStr">
        <is>
          <t>-</t>
        </is>
      </c>
      <c r="R10" s="38" t="inlineStr">
        <is>
          <t>-</t>
        </is>
      </c>
      <c r="S10" s="38" t="inlineStr">
        <is>
          <t>-</t>
        </is>
      </c>
      <c r="T10" s="38" t="inlineStr">
        <is>
          <t>-</t>
        </is>
      </c>
      <c r="U10" s="38" t="inlineStr">
        <is>
          <t>-</t>
        </is>
      </c>
      <c r="V10" s="38" t="inlineStr">
        <is>
          <t>-</t>
        </is>
      </c>
      <c r="W10" s="38" t="inlineStr">
        <is>
          <t>-</t>
        </is>
      </c>
      <c r="X10" s="38" t="inlineStr">
        <is>
          <t>-</t>
        </is>
      </c>
      <c r="Y10" s="38" t="inlineStr">
        <is>
          <t>-</t>
        </is>
      </c>
      <c r="Z10" s="38" t="inlineStr">
        <is>
          <t>-</t>
        </is>
      </c>
      <c r="AA10" s="38" t="inlineStr">
        <is>
          <t>-</t>
        </is>
      </c>
      <c r="AB10" s="38" t="inlineStr">
        <is>
          <t>-</t>
        </is>
      </c>
      <c r="AC10" s="38" t="inlineStr">
        <is>
          <t>-</t>
        </is>
      </c>
      <c r="AD10" s="38" t="inlineStr">
        <is>
          <t>-</t>
        </is>
      </c>
      <c r="AE10" s="38" t="inlineStr">
        <is>
          <t>-</t>
        </is>
      </c>
      <c r="AF10" s="48" t="inlineStr">
        <is>
          <t>-</t>
        </is>
      </c>
      <c r="AG10" s="39">
        <f>COUNTIF(B10:AE10, "P")</f>
        <v/>
      </c>
      <c r="AH10" s="15">
        <f>COUNTIF(B10:AE10, "CL")</f>
        <v/>
      </c>
      <c r="AI10" s="16">
        <f>COUNTIF(B10:AE10, "L")</f>
        <v/>
      </c>
      <c r="AJ10" s="17">
        <f>COUNTIF(B10:AE10, "WO")</f>
        <v/>
      </c>
      <c r="AK10" s="14">
        <f>COUNTIF(B10:AE10, "HO")</f>
        <v/>
      </c>
      <c r="AL10" s="18">
        <f>COUNTIF(B10:AE10, "CF")</f>
        <v/>
      </c>
      <c r="AM10" s="19">
        <f>AG10+AH10+AI10+AL10</f>
        <v/>
      </c>
      <c r="AN10" s="20">
        <f>IF(AM10&gt;0, AG10/AM10, 0)</f>
        <v/>
      </c>
    </row>
    <row r="11" ht="32" customHeight="1">
      <c r="A11" s="35" t="inlineStr">
        <is>
          <t>Ch Praveen Kumar
Employee</t>
        </is>
      </c>
      <c r="B11" s="38" t="inlineStr">
        <is>
          <t>-</t>
        </is>
      </c>
      <c r="C11" s="38" t="inlineStr">
        <is>
          <t>-</t>
        </is>
      </c>
      <c r="D11" s="38" t="inlineStr">
        <is>
          <t>-</t>
        </is>
      </c>
      <c r="E11" s="38" t="inlineStr">
        <is>
          <t>-</t>
        </is>
      </c>
      <c r="F11" s="38" t="inlineStr">
        <is>
          <t>-</t>
        </is>
      </c>
      <c r="G11" s="38" t="inlineStr">
        <is>
          <t>-</t>
        </is>
      </c>
      <c r="H11" s="38" t="inlineStr">
        <is>
          <t>-</t>
        </is>
      </c>
      <c r="I11" s="38" t="inlineStr">
        <is>
          <t>-</t>
        </is>
      </c>
      <c r="J11" s="38" t="inlineStr">
        <is>
          <t>-</t>
        </is>
      </c>
      <c r="K11" s="38" t="inlineStr">
        <is>
          <t>-</t>
        </is>
      </c>
      <c r="L11" s="38" t="inlineStr">
        <is>
          <t>-</t>
        </is>
      </c>
      <c r="M11" s="38" t="inlineStr">
        <is>
          <t>-</t>
        </is>
      </c>
      <c r="N11" s="38" t="inlineStr">
        <is>
          <t>-</t>
        </is>
      </c>
      <c r="O11" s="38" t="inlineStr">
        <is>
          <t>-</t>
        </is>
      </c>
      <c r="P11" s="38" t="inlineStr">
        <is>
          <t>-</t>
        </is>
      </c>
      <c r="Q11" s="38" t="inlineStr">
        <is>
          <t>-</t>
        </is>
      </c>
      <c r="R11" s="38" t="inlineStr">
        <is>
          <t>-</t>
        </is>
      </c>
      <c r="S11" s="38" t="inlineStr">
        <is>
          <t>-</t>
        </is>
      </c>
      <c r="T11" s="38" t="inlineStr">
        <is>
          <t>-</t>
        </is>
      </c>
      <c r="U11" s="38" t="inlineStr">
        <is>
          <t>-</t>
        </is>
      </c>
      <c r="V11" s="38" t="inlineStr">
        <is>
          <t>-</t>
        </is>
      </c>
      <c r="W11" s="38" t="inlineStr">
        <is>
          <t>-</t>
        </is>
      </c>
      <c r="X11" s="38" t="inlineStr">
        <is>
          <t>-</t>
        </is>
      </c>
      <c r="Y11" s="38" t="inlineStr">
        <is>
          <t>-</t>
        </is>
      </c>
      <c r="Z11" s="38" t="inlineStr">
        <is>
          <t>-</t>
        </is>
      </c>
      <c r="AA11" s="38" t="inlineStr">
        <is>
          <t>-</t>
        </is>
      </c>
      <c r="AB11" s="38" t="inlineStr">
        <is>
          <t>-</t>
        </is>
      </c>
      <c r="AC11" s="38" t="inlineStr">
        <is>
          <t>-</t>
        </is>
      </c>
      <c r="AD11" s="38" t="inlineStr">
        <is>
          <t>-</t>
        </is>
      </c>
      <c r="AE11" s="38" t="inlineStr">
        <is>
          <t>-</t>
        </is>
      </c>
      <c r="AF11" s="48" t="inlineStr">
        <is>
          <t>-</t>
        </is>
      </c>
      <c r="AG11" s="39">
        <f>COUNTIF(B11:AE11, "P")</f>
        <v/>
      </c>
      <c r="AH11" s="15">
        <f>COUNTIF(B11:AE11, "CL")</f>
        <v/>
      </c>
      <c r="AI11" s="16">
        <f>COUNTIF(B11:AE11, "L")</f>
        <v/>
      </c>
      <c r="AJ11" s="17">
        <f>COUNTIF(B11:AE11, "WO")</f>
        <v/>
      </c>
      <c r="AK11" s="14">
        <f>COUNTIF(B11:AE11, "HO")</f>
        <v/>
      </c>
      <c r="AL11" s="18">
        <f>COUNTIF(B11:AE11, "CF")</f>
        <v/>
      </c>
      <c r="AM11" s="19">
        <f>AG11+AH11+AI11+AL11</f>
        <v/>
      </c>
      <c r="AN11" s="20">
        <f>IF(AM11&gt;0, AG11/AM11, 0)</f>
        <v/>
      </c>
    </row>
    <row r="12" ht="32" customHeight="1">
      <c r="A12" s="40" t="inlineStr">
        <is>
          <t>KAVITHA
Employee</t>
        </is>
      </c>
      <c r="B12" s="38" t="inlineStr">
        <is>
          <t>-</t>
        </is>
      </c>
      <c r="C12" s="38" t="inlineStr">
        <is>
          <t>-</t>
        </is>
      </c>
      <c r="D12" s="38" t="inlineStr">
        <is>
          <t>-</t>
        </is>
      </c>
      <c r="E12" s="38" t="inlineStr">
        <is>
          <t>-</t>
        </is>
      </c>
      <c r="F12" s="38" t="inlineStr">
        <is>
          <t>-</t>
        </is>
      </c>
      <c r="G12" s="38" t="inlineStr">
        <is>
          <t>-</t>
        </is>
      </c>
      <c r="H12" s="38" t="inlineStr">
        <is>
          <t>-</t>
        </is>
      </c>
      <c r="I12" s="38" t="inlineStr">
        <is>
          <t>-</t>
        </is>
      </c>
      <c r="J12" s="38" t="inlineStr">
        <is>
          <t>-</t>
        </is>
      </c>
      <c r="K12" s="38" t="inlineStr">
        <is>
          <t>-</t>
        </is>
      </c>
      <c r="L12" s="38" t="inlineStr">
        <is>
          <t>-</t>
        </is>
      </c>
      <c r="M12" s="38" t="inlineStr">
        <is>
          <t>-</t>
        </is>
      </c>
      <c r="N12" s="38" t="inlineStr">
        <is>
          <t>-</t>
        </is>
      </c>
      <c r="O12" s="38" t="inlineStr">
        <is>
          <t>-</t>
        </is>
      </c>
      <c r="P12" s="38" t="inlineStr">
        <is>
          <t>-</t>
        </is>
      </c>
      <c r="Q12" s="38" t="inlineStr">
        <is>
          <t>-</t>
        </is>
      </c>
      <c r="R12" s="38" t="inlineStr">
        <is>
          <t>-</t>
        </is>
      </c>
      <c r="S12" s="38" t="inlineStr">
        <is>
          <t>-</t>
        </is>
      </c>
      <c r="T12" s="38" t="inlineStr">
        <is>
          <t>-</t>
        </is>
      </c>
      <c r="U12" s="38" t="inlineStr">
        <is>
          <t>-</t>
        </is>
      </c>
      <c r="V12" s="38" t="inlineStr">
        <is>
          <t>-</t>
        </is>
      </c>
      <c r="W12" s="38" t="inlineStr">
        <is>
          <t>-</t>
        </is>
      </c>
      <c r="X12" s="38" t="inlineStr">
        <is>
          <t>-</t>
        </is>
      </c>
      <c r="Y12" s="38" t="inlineStr">
        <is>
          <t>-</t>
        </is>
      </c>
      <c r="Z12" s="38" t="inlineStr">
        <is>
          <t>-</t>
        </is>
      </c>
      <c r="AA12" s="38" t="inlineStr">
        <is>
          <t>-</t>
        </is>
      </c>
      <c r="AB12" s="38" t="inlineStr">
        <is>
          <t>-</t>
        </is>
      </c>
      <c r="AC12" s="38" t="inlineStr">
        <is>
          <t>-</t>
        </is>
      </c>
      <c r="AD12" s="38" t="inlineStr">
        <is>
          <t>-</t>
        </is>
      </c>
      <c r="AE12" s="38" t="inlineStr">
        <is>
          <t>-</t>
        </is>
      </c>
      <c r="AF12" s="48" t="inlineStr">
        <is>
          <t>-</t>
        </is>
      </c>
      <c r="AG12" s="39">
        <f>COUNTIF(B12:AE12, "P")</f>
        <v/>
      </c>
      <c r="AH12" s="15">
        <f>COUNTIF(B12:AE12, "CL")</f>
        <v/>
      </c>
      <c r="AI12" s="16">
        <f>COUNTIF(B12:AE12, "L")</f>
        <v/>
      </c>
      <c r="AJ12" s="17">
        <f>COUNTIF(B12:AE12, "WO")</f>
        <v/>
      </c>
      <c r="AK12" s="14">
        <f>COUNTIF(B12:AE12, "HO")</f>
        <v/>
      </c>
      <c r="AL12" s="18">
        <f>COUNTIF(B12:AE12, "CF")</f>
        <v/>
      </c>
      <c r="AM12" s="19">
        <f>AG12+AH12+AI12+AL12</f>
        <v/>
      </c>
      <c r="AN12" s="20">
        <f>IF(AM12&gt;0, AG12/AM12, 0)</f>
        <v/>
      </c>
    </row>
    <row r="13" ht="32" customHeight="1">
      <c r="A13" s="35" t="inlineStr">
        <is>
          <t>LAXMINARAYANA
Employee</t>
        </is>
      </c>
      <c r="B13" s="38" t="inlineStr">
        <is>
          <t>-</t>
        </is>
      </c>
      <c r="C13" s="38" t="inlineStr">
        <is>
          <t>-</t>
        </is>
      </c>
      <c r="D13" s="38" t="inlineStr">
        <is>
          <t>-</t>
        </is>
      </c>
      <c r="E13" s="38" t="inlineStr">
        <is>
          <t>-</t>
        </is>
      </c>
      <c r="F13" s="38" t="inlineStr">
        <is>
          <t>-</t>
        </is>
      </c>
      <c r="G13" s="38" t="inlineStr">
        <is>
          <t>-</t>
        </is>
      </c>
      <c r="H13" s="38" t="inlineStr">
        <is>
          <t>-</t>
        </is>
      </c>
      <c r="I13" s="38" t="inlineStr">
        <is>
          <t>-</t>
        </is>
      </c>
      <c r="J13" s="38" t="inlineStr">
        <is>
          <t>-</t>
        </is>
      </c>
      <c r="K13" s="38" t="inlineStr">
        <is>
          <t>-</t>
        </is>
      </c>
      <c r="L13" s="38" t="inlineStr">
        <is>
          <t>-</t>
        </is>
      </c>
      <c r="M13" s="38" t="inlineStr">
        <is>
          <t>-</t>
        </is>
      </c>
      <c r="N13" s="38" t="inlineStr">
        <is>
          <t>-</t>
        </is>
      </c>
      <c r="O13" s="38" t="inlineStr">
        <is>
          <t>-</t>
        </is>
      </c>
      <c r="P13" s="38" t="inlineStr">
        <is>
          <t>-</t>
        </is>
      </c>
      <c r="Q13" s="38" t="inlineStr">
        <is>
          <t>-</t>
        </is>
      </c>
      <c r="R13" s="38" t="inlineStr">
        <is>
          <t>-</t>
        </is>
      </c>
      <c r="S13" s="38" t="inlineStr">
        <is>
          <t>-</t>
        </is>
      </c>
      <c r="T13" s="38" t="inlineStr">
        <is>
          <t>-</t>
        </is>
      </c>
      <c r="U13" s="38" t="inlineStr">
        <is>
          <t>-</t>
        </is>
      </c>
      <c r="V13" s="38" t="inlineStr">
        <is>
          <t>-</t>
        </is>
      </c>
      <c r="W13" s="38" t="inlineStr">
        <is>
          <t>-</t>
        </is>
      </c>
      <c r="X13" s="38" t="inlineStr">
        <is>
          <t>-</t>
        </is>
      </c>
      <c r="Y13" s="38" t="inlineStr">
        <is>
          <t>-</t>
        </is>
      </c>
      <c r="Z13" s="38" t="inlineStr">
        <is>
          <t>-</t>
        </is>
      </c>
      <c r="AA13" s="38" t="inlineStr">
        <is>
          <t>-</t>
        </is>
      </c>
      <c r="AB13" s="38" t="inlineStr">
        <is>
          <t>-</t>
        </is>
      </c>
      <c r="AC13" s="38" t="inlineStr">
        <is>
          <t>-</t>
        </is>
      </c>
      <c r="AD13" s="38" t="inlineStr">
        <is>
          <t>-</t>
        </is>
      </c>
      <c r="AE13" s="38" t="inlineStr">
        <is>
          <t>-</t>
        </is>
      </c>
      <c r="AF13" s="48" t="inlineStr">
        <is>
          <t>-</t>
        </is>
      </c>
      <c r="AG13" s="39">
        <f>COUNTIF(B13:AE13, "P")</f>
        <v/>
      </c>
      <c r="AH13" s="15">
        <f>COUNTIF(B13:AE13, "CL")</f>
        <v/>
      </c>
      <c r="AI13" s="16">
        <f>COUNTIF(B13:AE13, "L")</f>
        <v/>
      </c>
      <c r="AJ13" s="17">
        <f>COUNTIF(B13:AE13, "WO")</f>
        <v/>
      </c>
      <c r="AK13" s="14">
        <f>COUNTIF(B13:AE13, "HO")</f>
        <v/>
      </c>
      <c r="AL13" s="18">
        <f>COUNTIF(B13:AE13, "CF")</f>
        <v/>
      </c>
      <c r="AM13" s="19">
        <f>AG13+AH13+AI13+AL13</f>
        <v/>
      </c>
      <c r="AN13" s="20">
        <f>IF(AM13&gt;0, AG13/AM13, 0)</f>
        <v/>
      </c>
    </row>
    <row r="14" ht="32" customHeight="1">
      <c r="A14" s="40" t="inlineStr">
        <is>
          <t>MANI
Employee</t>
        </is>
      </c>
      <c r="B14" s="38" t="inlineStr">
        <is>
          <t>-</t>
        </is>
      </c>
      <c r="C14" s="38" t="inlineStr">
        <is>
          <t>-</t>
        </is>
      </c>
      <c r="D14" s="38" t="inlineStr">
        <is>
          <t>-</t>
        </is>
      </c>
      <c r="E14" s="38" t="inlineStr">
        <is>
          <t>-</t>
        </is>
      </c>
      <c r="F14" s="38" t="inlineStr">
        <is>
          <t>-</t>
        </is>
      </c>
      <c r="G14" s="38" t="inlineStr">
        <is>
          <t>-</t>
        </is>
      </c>
      <c r="H14" s="38" t="inlineStr">
        <is>
          <t>-</t>
        </is>
      </c>
      <c r="I14" s="38" t="inlineStr">
        <is>
          <t>-</t>
        </is>
      </c>
      <c r="J14" s="38" t="inlineStr">
        <is>
          <t>-</t>
        </is>
      </c>
      <c r="K14" s="38" t="inlineStr">
        <is>
          <t>-</t>
        </is>
      </c>
      <c r="L14" s="38" t="inlineStr">
        <is>
          <t>-</t>
        </is>
      </c>
      <c r="M14" s="38" t="inlineStr">
        <is>
          <t>-</t>
        </is>
      </c>
      <c r="N14" s="38" t="inlineStr">
        <is>
          <t>-</t>
        </is>
      </c>
      <c r="O14" s="38" t="inlineStr">
        <is>
          <t>-</t>
        </is>
      </c>
      <c r="P14" s="38" t="inlineStr">
        <is>
          <t>-</t>
        </is>
      </c>
      <c r="Q14" s="38" t="inlineStr">
        <is>
          <t>-</t>
        </is>
      </c>
      <c r="R14" s="38" t="inlineStr">
        <is>
          <t>-</t>
        </is>
      </c>
      <c r="S14" s="38" t="inlineStr">
        <is>
          <t>-</t>
        </is>
      </c>
      <c r="T14" s="38" t="inlineStr">
        <is>
          <t>-</t>
        </is>
      </c>
      <c r="U14" s="38" t="inlineStr">
        <is>
          <t>-</t>
        </is>
      </c>
      <c r="V14" s="38" t="inlineStr">
        <is>
          <t>-</t>
        </is>
      </c>
      <c r="W14" s="38" t="inlineStr">
        <is>
          <t>-</t>
        </is>
      </c>
      <c r="X14" s="38" t="inlineStr">
        <is>
          <t>-</t>
        </is>
      </c>
      <c r="Y14" s="38" t="inlineStr">
        <is>
          <t>-</t>
        </is>
      </c>
      <c r="Z14" s="38" t="inlineStr">
        <is>
          <t>-</t>
        </is>
      </c>
      <c r="AA14" s="38" t="inlineStr">
        <is>
          <t>-</t>
        </is>
      </c>
      <c r="AB14" s="38" t="inlineStr">
        <is>
          <t>-</t>
        </is>
      </c>
      <c r="AC14" s="38" t="inlineStr">
        <is>
          <t>-</t>
        </is>
      </c>
      <c r="AD14" s="38" t="inlineStr">
        <is>
          <t>-</t>
        </is>
      </c>
      <c r="AE14" s="38" t="inlineStr">
        <is>
          <t>-</t>
        </is>
      </c>
      <c r="AF14" s="48" t="inlineStr">
        <is>
          <t>-</t>
        </is>
      </c>
      <c r="AG14" s="39">
        <f>COUNTIF(B14:AE14, "P")</f>
        <v/>
      </c>
      <c r="AH14" s="15">
        <f>COUNTIF(B14:AE14, "CL")</f>
        <v/>
      </c>
      <c r="AI14" s="16">
        <f>COUNTIF(B14:AE14, "L")</f>
        <v/>
      </c>
      <c r="AJ14" s="17">
        <f>COUNTIF(B14:AE14, "WO")</f>
        <v/>
      </c>
      <c r="AK14" s="14">
        <f>COUNTIF(B14:AE14, "HO")</f>
        <v/>
      </c>
      <c r="AL14" s="18">
        <f>COUNTIF(B14:AE14, "CF")</f>
        <v/>
      </c>
      <c r="AM14" s="19">
        <f>AG14+AH14+AI14+AL14</f>
        <v/>
      </c>
      <c r="AN14" s="20">
        <f>IF(AM14&gt;0, AG14/AM14, 0)</f>
        <v/>
      </c>
    </row>
    <row r="15" ht="32" customHeight="1">
      <c r="A15" s="35" t="inlineStr">
        <is>
          <t>NEELIMA
Employee</t>
        </is>
      </c>
      <c r="B15" s="38" t="inlineStr">
        <is>
          <t>-</t>
        </is>
      </c>
      <c r="C15" s="38" t="inlineStr">
        <is>
          <t>-</t>
        </is>
      </c>
      <c r="D15" s="38" t="inlineStr">
        <is>
          <t>-</t>
        </is>
      </c>
      <c r="E15" s="38" t="inlineStr">
        <is>
          <t>-</t>
        </is>
      </c>
      <c r="F15" s="38" t="inlineStr">
        <is>
          <t>-</t>
        </is>
      </c>
      <c r="G15" s="38" t="inlineStr">
        <is>
          <t>-</t>
        </is>
      </c>
      <c r="H15" s="38" t="inlineStr">
        <is>
          <t>-</t>
        </is>
      </c>
      <c r="I15" s="38" t="inlineStr">
        <is>
          <t>-</t>
        </is>
      </c>
      <c r="J15" s="38" t="inlineStr">
        <is>
          <t>-</t>
        </is>
      </c>
      <c r="K15" s="38" t="inlineStr">
        <is>
          <t>-</t>
        </is>
      </c>
      <c r="L15" s="38" t="inlineStr">
        <is>
          <t>-</t>
        </is>
      </c>
      <c r="M15" s="38" t="inlineStr">
        <is>
          <t>-</t>
        </is>
      </c>
      <c r="N15" s="38" t="inlineStr">
        <is>
          <t>-</t>
        </is>
      </c>
      <c r="O15" s="38" t="inlineStr">
        <is>
          <t>-</t>
        </is>
      </c>
      <c r="P15" s="38" t="inlineStr">
        <is>
          <t>-</t>
        </is>
      </c>
      <c r="Q15" s="38" t="inlineStr">
        <is>
          <t>-</t>
        </is>
      </c>
      <c r="R15" s="38" t="inlineStr">
        <is>
          <t>-</t>
        </is>
      </c>
      <c r="S15" s="38" t="inlineStr">
        <is>
          <t>-</t>
        </is>
      </c>
      <c r="T15" s="38" t="inlineStr">
        <is>
          <t>-</t>
        </is>
      </c>
      <c r="U15" s="38" t="inlineStr">
        <is>
          <t>-</t>
        </is>
      </c>
      <c r="V15" s="38" t="inlineStr">
        <is>
          <t>-</t>
        </is>
      </c>
      <c r="W15" s="38" t="inlineStr">
        <is>
          <t>-</t>
        </is>
      </c>
      <c r="X15" s="38" t="inlineStr">
        <is>
          <t>-</t>
        </is>
      </c>
      <c r="Y15" s="38" t="inlineStr">
        <is>
          <t>-</t>
        </is>
      </c>
      <c r="Z15" s="38" t="inlineStr">
        <is>
          <t>-</t>
        </is>
      </c>
      <c r="AA15" s="38" t="inlineStr">
        <is>
          <t>-</t>
        </is>
      </c>
      <c r="AB15" s="38" t="inlineStr">
        <is>
          <t>-</t>
        </is>
      </c>
      <c r="AC15" s="38" t="inlineStr">
        <is>
          <t>-</t>
        </is>
      </c>
      <c r="AD15" s="38" t="inlineStr">
        <is>
          <t>-</t>
        </is>
      </c>
      <c r="AE15" s="38" t="inlineStr">
        <is>
          <t>-</t>
        </is>
      </c>
      <c r="AF15" s="48" t="inlineStr">
        <is>
          <t>-</t>
        </is>
      </c>
      <c r="AG15" s="39">
        <f>COUNTIF(B15:AE15, "P")</f>
        <v/>
      </c>
      <c r="AH15" s="15">
        <f>COUNTIF(B15:AE15, "CL")</f>
        <v/>
      </c>
      <c r="AI15" s="16">
        <f>COUNTIF(B15:AE15, "L")</f>
        <v/>
      </c>
      <c r="AJ15" s="17">
        <f>COUNTIF(B15:AE15, "WO")</f>
        <v/>
      </c>
      <c r="AK15" s="14">
        <f>COUNTIF(B15:AE15, "HO")</f>
        <v/>
      </c>
      <c r="AL15" s="18">
        <f>COUNTIF(B15:AE15, "CF")</f>
        <v/>
      </c>
      <c r="AM15" s="19">
        <f>AG15+AH15+AI15+AL15</f>
        <v/>
      </c>
      <c r="AN15" s="20">
        <f>IF(AM15&gt;0, AG15/AM15, 0)</f>
        <v/>
      </c>
    </row>
    <row r="16" ht="32" customHeight="1">
      <c r="A16" s="40" t="inlineStr">
        <is>
          <t>PHANI
Employee</t>
        </is>
      </c>
      <c r="B16" s="37" t="inlineStr">
        <is>
          <t>WO</t>
        </is>
      </c>
      <c r="C16" s="38" t="inlineStr">
        <is>
          <t>-</t>
        </is>
      </c>
      <c r="D16" s="38" t="inlineStr">
        <is>
          <t>-</t>
        </is>
      </c>
      <c r="E16" s="38" t="inlineStr">
        <is>
          <t>-</t>
        </is>
      </c>
      <c r="F16" s="38" t="inlineStr">
        <is>
          <t>-</t>
        </is>
      </c>
      <c r="G16" s="38" t="inlineStr">
        <is>
          <t>-</t>
        </is>
      </c>
      <c r="H16" s="38" t="inlineStr">
        <is>
          <t>-</t>
        </is>
      </c>
      <c r="I16" s="38" t="inlineStr">
        <is>
          <t>-</t>
        </is>
      </c>
      <c r="J16" s="38" t="inlineStr">
        <is>
          <t>-</t>
        </is>
      </c>
      <c r="K16" s="38" t="inlineStr">
        <is>
          <t>-</t>
        </is>
      </c>
      <c r="L16" s="38" t="inlineStr">
        <is>
          <t>-</t>
        </is>
      </c>
      <c r="M16" s="38" t="inlineStr">
        <is>
          <t>-</t>
        </is>
      </c>
      <c r="N16" s="38" t="inlineStr">
        <is>
          <t>-</t>
        </is>
      </c>
      <c r="O16" s="38" t="inlineStr">
        <is>
          <t>-</t>
        </is>
      </c>
      <c r="P16" s="38" t="inlineStr">
        <is>
          <t>-</t>
        </is>
      </c>
      <c r="Q16" s="38" t="inlineStr">
        <is>
          <t>-</t>
        </is>
      </c>
      <c r="R16" s="38" t="inlineStr">
        <is>
          <t>-</t>
        </is>
      </c>
      <c r="S16" s="38" t="inlineStr">
        <is>
          <t>-</t>
        </is>
      </c>
      <c r="T16" s="38" t="inlineStr">
        <is>
          <t>-</t>
        </is>
      </c>
      <c r="U16" s="38" t="inlineStr">
        <is>
          <t>-</t>
        </is>
      </c>
      <c r="V16" s="38" t="inlineStr">
        <is>
          <t>-</t>
        </is>
      </c>
      <c r="W16" s="38" t="inlineStr">
        <is>
          <t>-</t>
        </is>
      </c>
      <c r="X16" s="38" t="inlineStr">
        <is>
          <t>-</t>
        </is>
      </c>
      <c r="Y16" s="38" t="inlineStr">
        <is>
          <t>-</t>
        </is>
      </c>
      <c r="Z16" s="38" t="inlineStr">
        <is>
          <t>-</t>
        </is>
      </c>
      <c r="AA16" s="38" t="inlineStr">
        <is>
          <t>-</t>
        </is>
      </c>
      <c r="AB16" s="38" t="inlineStr">
        <is>
          <t>-</t>
        </is>
      </c>
      <c r="AC16" s="38" t="inlineStr">
        <is>
          <t>-</t>
        </is>
      </c>
      <c r="AD16" s="38" t="inlineStr">
        <is>
          <t>-</t>
        </is>
      </c>
      <c r="AE16" s="38" t="inlineStr">
        <is>
          <t>-</t>
        </is>
      </c>
      <c r="AF16" s="48" t="inlineStr">
        <is>
          <t>-</t>
        </is>
      </c>
      <c r="AG16" s="39">
        <f>COUNTIF(B16:AE16, "P")</f>
        <v/>
      </c>
      <c r="AH16" s="15">
        <f>COUNTIF(B16:AE16, "CL")</f>
        <v/>
      </c>
      <c r="AI16" s="16">
        <f>COUNTIF(B16:AE16, "L")</f>
        <v/>
      </c>
      <c r="AJ16" s="17">
        <f>COUNTIF(B16:AE16, "WO")</f>
        <v/>
      </c>
      <c r="AK16" s="14">
        <f>COUNTIF(B16:AE16, "HO")</f>
        <v/>
      </c>
      <c r="AL16" s="18">
        <f>COUNTIF(B16:AE16, "CF")</f>
        <v/>
      </c>
      <c r="AM16" s="19">
        <f>AG16+AH16+AI16+AL16</f>
        <v/>
      </c>
      <c r="AN16" s="20">
        <f>IF(AM16&gt;0, AG16/AM16, 0)</f>
        <v/>
      </c>
    </row>
    <row r="17" ht="32" customHeight="1">
      <c r="A17" s="35" t="inlineStr">
        <is>
          <t>PRAVEEN KUMAR
Employee</t>
        </is>
      </c>
      <c r="B17" s="38" t="inlineStr">
        <is>
          <t>-</t>
        </is>
      </c>
      <c r="C17" s="38" t="inlineStr">
        <is>
          <t>-</t>
        </is>
      </c>
      <c r="D17" s="38" t="inlineStr">
        <is>
          <t>-</t>
        </is>
      </c>
      <c r="E17" s="38" t="inlineStr">
        <is>
          <t>-</t>
        </is>
      </c>
      <c r="F17" s="38" t="inlineStr">
        <is>
          <t>-</t>
        </is>
      </c>
      <c r="G17" s="38" t="inlineStr">
        <is>
          <t>-</t>
        </is>
      </c>
      <c r="H17" s="38" t="inlineStr">
        <is>
          <t>-</t>
        </is>
      </c>
      <c r="I17" s="38" t="inlineStr">
        <is>
          <t>-</t>
        </is>
      </c>
      <c r="J17" s="38" t="inlineStr">
        <is>
          <t>-</t>
        </is>
      </c>
      <c r="K17" s="38" t="inlineStr">
        <is>
          <t>-</t>
        </is>
      </c>
      <c r="L17" s="38" t="inlineStr">
        <is>
          <t>-</t>
        </is>
      </c>
      <c r="M17" s="38" t="inlineStr">
        <is>
          <t>-</t>
        </is>
      </c>
      <c r="N17" s="38" t="inlineStr">
        <is>
          <t>-</t>
        </is>
      </c>
      <c r="O17" s="38" t="inlineStr">
        <is>
          <t>-</t>
        </is>
      </c>
      <c r="P17" s="38" t="inlineStr">
        <is>
          <t>-</t>
        </is>
      </c>
      <c r="Q17" s="38" t="inlineStr">
        <is>
          <t>-</t>
        </is>
      </c>
      <c r="R17" s="38" t="inlineStr">
        <is>
          <t>-</t>
        </is>
      </c>
      <c r="S17" s="38" t="inlineStr">
        <is>
          <t>-</t>
        </is>
      </c>
      <c r="T17" s="38" t="inlineStr">
        <is>
          <t>-</t>
        </is>
      </c>
      <c r="U17" s="38" t="inlineStr">
        <is>
          <t>-</t>
        </is>
      </c>
      <c r="V17" s="38" t="inlineStr">
        <is>
          <t>-</t>
        </is>
      </c>
      <c r="W17" s="38" t="inlineStr">
        <is>
          <t>-</t>
        </is>
      </c>
      <c r="X17" s="38" t="inlineStr">
        <is>
          <t>-</t>
        </is>
      </c>
      <c r="Y17" s="38" t="inlineStr">
        <is>
          <t>-</t>
        </is>
      </c>
      <c r="Z17" s="38" t="inlineStr">
        <is>
          <t>-</t>
        </is>
      </c>
      <c r="AA17" s="38" t="inlineStr">
        <is>
          <t>-</t>
        </is>
      </c>
      <c r="AB17" s="38" t="inlineStr">
        <is>
          <t>-</t>
        </is>
      </c>
      <c r="AC17" s="38" t="inlineStr">
        <is>
          <t>-</t>
        </is>
      </c>
      <c r="AD17" s="38" t="inlineStr">
        <is>
          <t>-</t>
        </is>
      </c>
      <c r="AE17" s="38" t="inlineStr">
        <is>
          <t>-</t>
        </is>
      </c>
      <c r="AF17" s="48" t="inlineStr">
        <is>
          <t>-</t>
        </is>
      </c>
      <c r="AG17" s="39">
        <f>COUNTIF(B17:AE17, "P")</f>
        <v/>
      </c>
      <c r="AH17" s="15">
        <f>COUNTIF(B17:AE17, "CL")</f>
        <v/>
      </c>
      <c r="AI17" s="16">
        <f>COUNTIF(B17:AE17, "L")</f>
        <v/>
      </c>
      <c r="AJ17" s="17">
        <f>COUNTIF(B17:AE17, "WO")</f>
        <v/>
      </c>
      <c r="AK17" s="14">
        <f>COUNTIF(B17:AE17, "HO")</f>
        <v/>
      </c>
      <c r="AL17" s="18">
        <f>COUNTIF(B17:AE17, "CF")</f>
        <v/>
      </c>
      <c r="AM17" s="19">
        <f>AG17+AH17+AI17+AL17</f>
        <v/>
      </c>
      <c r="AN17" s="20">
        <f>IF(AM17&gt;0, AG17/AM17, 0)</f>
        <v/>
      </c>
    </row>
    <row r="18" ht="32" customHeight="1">
      <c r="A18" s="40" t="inlineStr">
        <is>
          <t>RAMESH
Employee</t>
        </is>
      </c>
      <c r="B18" s="38" t="inlineStr">
        <is>
          <t>-</t>
        </is>
      </c>
      <c r="C18" s="38" t="inlineStr">
        <is>
          <t>-</t>
        </is>
      </c>
      <c r="D18" s="38" t="inlineStr">
        <is>
          <t>-</t>
        </is>
      </c>
      <c r="E18" s="38" t="inlineStr">
        <is>
          <t>-</t>
        </is>
      </c>
      <c r="F18" s="38" t="inlineStr">
        <is>
          <t>-</t>
        </is>
      </c>
      <c r="G18" s="38" t="inlineStr">
        <is>
          <t>-</t>
        </is>
      </c>
      <c r="H18" s="38" t="inlineStr">
        <is>
          <t>-</t>
        </is>
      </c>
      <c r="I18" s="38" t="inlineStr">
        <is>
          <t>-</t>
        </is>
      </c>
      <c r="J18" s="38" t="inlineStr">
        <is>
          <t>-</t>
        </is>
      </c>
      <c r="K18" s="38" t="inlineStr">
        <is>
          <t>-</t>
        </is>
      </c>
      <c r="L18" s="38" t="inlineStr">
        <is>
          <t>-</t>
        </is>
      </c>
      <c r="M18" s="38" t="inlineStr">
        <is>
          <t>-</t>
        </is>
      </c>
      <c r="N18" s="38" t="inlineStr">
        <is>
          <t>-</t>
        </is>
      </c>
      <c r="O18" s="38" t="inlineStr">
        <is>
          <t>-</t>
        </is>
      </c>
      <c r="P18" s="38" t="inlineStr">
        <is>
          <t>-</t>
        </is>
      </c>
      <c r="Q18" s="38" t="inlineStr">
        <is>
          <t>-</t>
        </is>
      </c>
      <c r="R18" s="38" t="inlineStr">
        <is>
          <t>-</t>
        </is>
      </c>
      <c r="S18" s="38" t="inlineStr">
        <is>
          <t>-</t>
        </is>
      </c>
      <c r="T18" s="38" t="inlineStr">
        <is>
          <t>-</t>
        </is>
      </c>
      <c r="U18" s="38" t="inlineStr">
        <is>
          <t>-</t>
        </is>
      </c>
      <c r="V18" s="38" t="inlineStr">
        <is>
          <t>-</t>
        </is>
      </c>
      <c r="W18" s="38" t="inlineStr">
        <is>
          <t>-</t>
        </is>
      </c>
      <c r="X18" s="38" t="inlineStr">
        <is>
          <t>-</t>
        </is>
      </c>
      <c r="Y18" s="38" t="inlineStr">
        <is>
          <t>-</t>
        </is>
      </c>
      <c r="Z18" s="38" t="inlineStr">
        <is>
          <t>-</t>
        </is>
      </c>
      <c r="AA18" s="38" t="inlineStr">
        <is>
          <t>-</t>
        </is>
      </c>
      <c r="AB18" s="38" t="inlineStr">
        <is>
          <t>-</t>
        </is>
      </c>
      <c r="AC18" s="38" t="inlineStr">
        <is>
          <t>-</t>
        </is>
      </c>
      <c r="AD18" s="38" t="inlineStr">
        <is>
          <t>-</t>
        </is>
      </c>
      <c r="AE18" s="38" t="inlineStr">
        <is>
          <t>-</t>
        </is>
      </c>
      <c r="AF18" s="48" t="inlineStr">
        <is>
          <t>-</t>
        </is>
      </c>
      <c r="AG18" s="39">
        <f>COUNTIF(B18:AE18, "P")</f>
        <v/>
      </c>
      <c r="AH18" s="15">
        <f>COUNTIF(B18:AE18, "CL")</f>
        <v/>
      </c>
      <c r="AI18" s="16">
        <f>COUNTIF(B18:AE18, "L")</f>
        <v/>
      </c>
      <c r="AJ18" s="17">
        <f>COUNTIF(B18:AE18, "WO")</f>
        <v/>
      </c>
      <c r="AK18" s="14">
        <f>COUNTIF(B18:AE18, "HO")</f>
        <v/>
      </c>
      <c r="AL18" s="18">
        <f>COUNTIF(B18:AE18, "CF")</f>
        <v/>
      </c>
      <c r="AM18" s="19">
        <f>AG18+AH18+AI18+AL18</f>
        <v/>
      </c>
      <c r="AN18" s="20">
        <f>IF(AM18&gt;0, AG18/AM18, 0)</f>
        <v/>
      </c>
    </row>
    <row r="19" ht="32" customHeight="1">
      <c r="A19" s="35" t="inlineStr">
        <is>
          <t>RAVALI
Employee</t>
        </is>
      </c>
      <c r="B19" s="38" t="inlineStr">
        <is>
          <t>-</t>
        </is>
      </c>
      <c r="C19" s="38" t="inlineStr">
        <is>
          <t>-</t>
        </is>
      </c>
      <c r="D19" s="38" t="inlineStr">
        <is>
          <t>-</t>
        </is>
      </c>
      <c r="E19" s="38" t="inlineStr">
        <is>
          <t>-</t>
        </is>
      </c>
      <c r="F19" s="38" t="inlineStr">
        <is>
          <t>-</t>
        </is>
      </c>
      <c r="G19" s="38" t="inlineStr">
        <is>
          <t>-</t>
        </is>
      </c>
      <c r="H19" s="38" t="inlineStr">
        <is>
          <t>-</t>
        </is>
      </c>
      <c r="I19" s="38" t="inlineStr">
        <is>
          <t>-</t>
        </is>
      </c>
      <c r="J19" s="38" t="inlineStr">
        <is>
          <t>-</t>
        </is>
      </c>
      <c r="K19" s="38" t="inlineStr">
        <is>
          <t>-</t>
        </is>
      </c>
      <c r="L19" s="38" t="inlineStr">
        <is>
          <t>-</t>
        </is>
      </c>
      <c r="M19" s="38" t="inlineStr">
        <is>
          <t>-</t>
        </is>
      </c>
      <c r="N19" s="38" t="inlineStr">
        <is>
          <t>-</t>
        </is>
      </c>
      <c r="O19" s="38" t="inlineStr">
        <is>
          <t>-</t>
        </is>
      </c>
      <c r="P19" s="38" t="inlineStr">
        <is>
          <t>-</t>
        </is>
      </c>
      <c r="Q19" s="38" t="inlineStr">
        <is>
          <t>-</t>
        </is>
      </c>
      <c r="R19" s="38" t="inlineStr">
        <is>
          <t>-</t>
        </is>
      </c>
      <c r="S19" s="38" t="inlineStr">
        <is>
          <t>-</t>
        </is>
      </c>
      <c r="T19" s="38" t="inlineStr">
        <is>
          <t>-</t>
        </is>
      </c>
      <c r="U19" s="38" t="inlineStr">
        <is>
          <t>-</t>
        </is>
      </c>
      <c r="V19" s="38" t="inlineStr">
        <is>
          <t>-</t>
        </is>
      </c>
      <c r="W19" s="38" t="inlineStr">
        <is>
          <t>-</t>
        </is>
      </c>
      <c r="X19" s="38" t="inlineStr">
        <is>
          <t>-</t>
        </is>
      </c>
      <c r="Y19" s="38" t="inlineStr">
        <is>
          <t>-</t>
        </is>
      </c>
      <c r="Z19" s="38" t="inlineStr">
        <is>
          <t>-</t>
        </is>
      </c>
      <c r="AA19" s="38" t="inlineStr">
        <is>
          <t>-</t>
        </is>
      </c>
      <c r="AB19" s="38" t="inlineStr">
        <is>
          <t>-</t>
        </is>
      </c>
      <c r="AC19" s="38" t="inlineStr">
        <is>
          <t>-</t>
        </is>
      </c>
      <c r="AD19" s="38" t="inlineStr">
        <is>
          <t>-</t>
        </is>
      </c>
      <c r="AE19" s="38" t="inlineStr">
        <is>
          <t>-</t>
        </is>
      </c>
      <c r="AF19" s="48" t="inlineStr">
        <is>
          <t>-</t>
        </is>
      </c>
      <c r="AG19" s="39">
        <f>COUNTIF(B19:AE19, "P")</f>
        <v/>
      </c>
      <c r="AH19" s="15">
        <f>COUNTIF(B19:AE19, "CL")</f>
        <v/>
      </c>
      <c r="AI19" s="16">
        <f>COUNTIF(B19:AE19, "L")</f>
        <v/>
      </c>
      <c r="AJ19" s="17">
        <f>COUNTIF(B19:AE19, "WO")</f>
        <v/>
      </c>
      <c r="AK19" s="14">
        <f>COUNTIF(B19:AE19, "HO")</f>
        <v/>
      </c>
      <c r="AL19" s="18">
        <f>COUNTIF(B19:AE19, "CF")</f>
        <v/>
      </c>
      <c r="AM19" s="19">
        <f>AG19+AH19+AI19+AL19</f>
        <v/>
      </c>
      <c r="AN19" s="20">
        <f>IF(AM19&gt;0, AG19/AM19, 0)</f>
        <v/>
      </c>
    </row>
    <row r="20" ht="32" customHeight="1">
      <c r="A20" s="40" t="inlineStr">
        <is>
          <t>SAI CHARAN
Employee</t>
        </is>
      </c>
      <c r="B20" s="38" t="inlineStr">
        <is>
          <t>-</t>
        </is>
      </c>
      <c r="C20" s="38" t="inlineStr">
        <is>
          <t>-</t>
        </is>
      </c>
      <c r="D20" s="38" t="inlineStr">
        <is>
          <t>-</t>
        </is>
      </c>
      <c r="E20" s="38" t="inlineStr">
        <is>
          <t>-</t>
        </is>
      </c>
      <c r="F20" s="38" t="inlineStr">
        <is>
          <t>-</t>
        </is>
      </c>
      <c r="G20" s="38" t="inlineStr">
        <is>
          <t>-</t>
        </is>
      </c>
      <c r="H20" s="38" t="inlineStr">
        <is>
          <t>-</t>
        </is>
      </c>
      <c r="I20" s="38" t="inlineStr">
        <is>
          <t>-</t>
        </is>
      </c>
      <c r="J20" s="38" t="inlineStr">
        <is>
          <t>-</t>
        </is>
      </c>
      <c r="K20" s="38" t="inlineStr">
        <is>
          <t>-</t>
        </is>
      </c>
      <c r="L20" s="38" t="inlineStr">
        <is>
          <t>-</t>
        </is>
      </c>
      <c r="M20" s="38" t="inlineStr">
        <is>
          <t>-</t>
        </is>
      </c>
      <c r="N20" s="38" t="inlineStr">
        <is>
          <t>-</t>
        </is>
      </c>
      <c r="O20" s="38" t="inlineStr">
        <is>
          <t>-</t>
        </is>
      </c>
      <c r="P20" s="38" t="inlineStr">
        <is>
          <t>-</t>
        </is>
      </c>
      <c r="Q20" s="38" t="inlineStr">
        <is>
          <t>-</t>
        </is>
      </c>
      <c r="R20" s="38" t="inlineStr">
        <is>
          <t>-</t>
        </is>
      </c>
      <c r="S20" s="38" t="inlineStr">
        <is>
          <t>-</t>
        </is>
      </c>
      <c r="T20" s="38" t="inlineStr">
        <is>
          <t>-</t>
        </is>
      </c>
      <c r="U20" s="38" t="inlineStr">
        <is>
          <t>-</t>
        </is>
      </c>
      <c r="V20" s="38" t="inlineStr">
        <is>
          <t>-</t>
        </is>
      </c>
      <c r="W20" s="38" t="inlineStr">
        <is>
          <t>-</t>
        </is>
      </c>
      <c r="X20" s="38" t="inlineStr">
        <is>
          <t>-</t>
        </is>
      </c>
      <c r="Y20" s="38" t="inlineStr">
        <is>
          <t>-</t>
        </is>
      </c>
      <c r="Z20" s="38" t="inlineStr">
        <is>
          <t>-</t>
        </is>
      </c>
      <c r="AA20" s="38" t="inlineStr">
        <is>
          <t>-</t>
        </is>
      </c>
      <c r="AB20" s="38" t="inlineStr">
        <is>
          <t>-</t>
        </is>
      </c>
      <c r="AC20" s="38" t="inlineStr">
        <is>
          <t>-</t>
        </is>
      </c>
      <c r="AD20" s="38" t="inlineStr">
        <is>
          <t>-</t>
        </is>
      </c>
      <c r="AE20" s="38" t="inlineStr">
        <is>
          <t>-</t>
        </is>
      </c>
      <c r="AF20" s="48" t="inlineStr">
        <is>
          <t>-</t>
        </is>
      </c>
      <c r="AG20" s="39">
        <f>COUNTIF(B20:AE20, "P")</f>
        <v/>
      </c>
      <c r="AH20" s="15">
        <f>COUNTIF(B20:AE20, "CL")</f>
        <v/>
      </c>
      <c r="AI20" s="16">
        <f>COUNTIF(B20:AE20, "L")</f>
        <v/>
      </c>
      <c r="AJ20" s="17">
        <f>COUNTIF(B20:AE20, "WO")</f>
        <v/>
      </c>
      <c r="AK20" s="14">
        <f>COUNTIF(B20:AE20, "HO")</f>
        <v/>
      </c>
      <c r="AL20" s="18">
        <f>COUNTIF(B20:AE20, "CF")</f>
        <v/>
      </c>
      <c r="AM20" s="19">
        <f>AG20+AH20+AI20+AL20</f>
        <v/>
      </c>
      <c r="AN20" s="20">
        <f>IF(AM20&gt;0, AG20/AM20, 0)</f>
        <v/>
      </c>
    </row>
    <row r="21" ht="32" customHeight="1">
      <c r="A21" s="35" t="inlineStr">
        <is>
          <t>SAI KUMAR
Employee</t>
        </is>
      </c>
      <c r="B21" s="38" t="inlineStr">
        <is>
          <t>-</t>
        </is>
      </c>
      <c r="C21" s="38" t="inlineStr">
        <is>
          <t>-</t>
        </is>
      </c>
      <c r="D21" s="38" t="inlineStr">
        <is>
          <t>-</t>
        </is>
      </c>
      <c r="E21" s="38" t="inlineStr">
        <is>
          <t>-</t>
        </is>
      </c>
      <c r="F21" s="38" t="inlineStr">
        <is>
          <t>-</t>
        </is>
      </c>
      <c r="G21" s="38" t="inlineStr">
        <is>
          <t>-</t>
        </is>
      </c>
      <c r="H21" s="38" t="inlineStr">
        <is>
          <t>-</t>
        </is>
      </c>
      <c r="I21" s="38" t="inlineStr">
        <is>
          <t>-</t>
        </is>
      </c>
      <c r="J21" s="38" t="inlineStr">
        <is>
          <t>-</t>
        </is>
      </c>
      <c r="K21" s="38" t="inlineStr">
        <is>
          <t>-</t>
        </is>
      </c>
      <c r="L21" s="38" t="inlineStr">
        <is>
          <t>-</t>
        </is>
      </c>
      <c r="M21" s="38" t="inlineStr">
        <is>
          <t>-</t>
        </is>
      </c>
      <c r="N21" s="38" t="inlineStr">
        <is>
          <t>-</t>
        </is>
      </c>
      <c r="O21" s="38" t="inlineStr">
        <is>
          <t>-</t>
        </is>
      </c>
      <c r="P21" s="38" t="inlineStr">
        <is>
          <t>-</t>
        </is>
      </c>
      <c r="Q21" s="38" t="inlineStr">
        <is>
          <t>-</t>
        </is>
      </c>
      <c r="R21" s="38" t="inlineStr">
        <is>
          <t>-</t>
        </is>
      </c>
      <c r="S21" s="38" t="inlineStr">
        <is>
          <t>-</t>
        </is>
      </c>
      <c r="T21" s="38" t="inlineStr">
        <is>
          <t>-</t>
        </is>
      </c>
      <c r="U21" s="38" t="inlineStr">
        <is>
          <t>-</t>
        </is>
      </c>
      <c r="V21" s="38" t="inlineStr">
        <is>
          <t>-</t>
        </is>
      </c>
      <c r="W21" s="38" t="inlineStr">
        <is>
          <t>-</t>
        </is>
      </c>
      <c r="X21" s="38" t="inlineStr">
        <is>
          <t>-</t>
        </is>
      </c>
      <c r="Y21" s="38" t="inlineStr">
        <is>
          <t>-</t>
        </is>
      </c>
      <c r="Z21" s="38" t="inlineStr">
        <is>
          <t>-</t>
        </is>
      </c>
      <c r="AA21" s="38" t="inlineStr">
        <is>
          <t>-</t>
        </is>
      </c>
      <c r="AB21" s="38" t="inlineStr">
        <is>
          <t>-</t>
        </is>
      </c>
      <c r="AC21" s="38" t="inlineStr">
        <is>
          <t>-</t>
        </is>
      </c>
      <c r="AD21" s="38" t="inlineStr">
        <is>
          <t>-</t>
        </is>
      </c>
      <c r="AE21" s="38" t="inlineStr">
        <is>
          <t>-</t>
        </is>
      </c>
      <c r="AF21" s="48" t="inlineStr">
        <is>
          <t>-</t>
        </is>
      </c>
      <c r="AG21" s="39">
        <f>COUNTIF(B21:AE21, "P")</f>
        <v/>
      </c>
      <c r="AH21" s="15">
        <f>COUNTIF(B21:AE21, "CL")</f>
        <v/>
      </c>
      <c r="AI21" s="16">
        <f>COUNTIF(B21:AE21, "L")</f>
        <v/>
      </c>
      <c r="AJ21" s="17">
        <f>COUNTIF(B21:AE21, "WO")</f>
        <v/>
      </c>
      <c r="AK21" s="14">
        <f>COUNTIF(B21:AE21, "HO")</f>
        <v/>
      </c>
      <c r="AL21" s="18">
        <f>COUNTIF(B21:AE21, "CF")</f>
        <v/>
      </c>
      <c r="AM21" s="19">
        <f>AG21+AH21+AI21+AL21</f>
        <v/>
      </c>
      <c r="AN21" s="20">
        <f>IF(AM21&gt;0, AG21/AM21, 0)</f>
        <v/>
      </c>
    </row>
    <row r="22" ht="32" customHeight="1">
      <c r="A22" s="40" t="inlineStr">
        <is>
          <t>SIRISHA
Employee</t>
        </is>
      </c>
      <c r="B22" s="38" t="inlineStr">
        <is>
          <t>-</t>
        </is>
      </c>
      <c r="C22" s="38" t="inlineStr">
        <is>
          <t>-</t>
        </is>
      </c>
      <c r="D22" s="38" t="inlineStr">
        <is>
          <t>-</t>
        </is>
      </c>
      <c r="E22" s="38" t="inlineStr">
        <is>
          <t>-</t>
        </is>
      </c>
      <c r="F22" s="38" t="inlineStr">
        <is>
          <t>-</t>
        </is>
      </c>
      <c r="G22" s="38" t="inlineStr">
        <is>
          <t>-</t>
        </is>
      </c>
      <c r="H22" s="38" t="inlineStr">
        <is>
          <t>-</t>
        </is>
      </c>
      <c r="I22" s="38" t="inlineStr">
        <is>
          <t>-</t>
        </is>
      </c>
      <c r="J22" s="38" t="inlineStr">
        <is>
          <t>-</t>
        </is>
      </c>
      <c r="K22" s="38" t="inlineStr">
        <is>
          <t>-</t>
        </is>
      </c>
      <c r="L22" s="38" t="inlineStr">
        <is>
          <t>-</t>
        </is>
      </c>
      <c r="M22" s="38" t="inlineStr">
        <is>
          <t>-</t>
        </is>
      </c>
      <c r="N22" s="38" t="inlineStr">
        <is>
          <t>-</t>
        </is>
      </c>
      <c r="O22" s="38" t="inlineStr">
        <is>
          <t>-</t>
        </is>
      </c>
      <c r="P22" s="38" t="inlineStr">
        <is>
          <t>-</t>
        </is>
      </c>
      <c r="Q22" s="38" t="inlineStr">
        <is>
          <t>-</t>
        </is>
      </c>
      <c r="R22" s="38" t="inlineStr">
        <is>
          <t>-</t>
        </is>
      </c>
      <c r="S22" s="38" t="inlineStr">
        <is>
          <t>-</t>
        </is>
      </c>
      <c r="T22" s="38" t="inlineStr">
        <is>
          <t>-</t>
        </is>
      </c>
      <c r="U22" s="38" t="inlineStr">
        <is>
          <t>-</t>
        </is>
      </c>
      <c r="V22" s="38" t="inlineStr">
        <is>
          <t>-</t>
        </is>
      </c>
      <c r="W22" s="38" t="inlineStr">
        <is>
          <t>-</t>
        </is>
      </c>
      <c r="X22" s="38" t="inlineStr">
        <is>
          <t>-</t>
        </is>
      </c>
      <c r="Y22" s="38" t="inlineStr">
        <is>
          <t>-</t>
        </is>
      </c>
      <c r="Z22" s="38" t="inlineStr">
        <is>
          <t>-</t>
        </is>
      </c>
      <c r="AA22" s="38" t="inlineStr">
        <is>
          <t>-</t>
        </is>
      </c>
      <c r="AB22" s="38" t="inlineStr">
        <is>
          <t>-</t>
        </is>
      </c>
      <c r="AC22" s="38" t="inlineStr">
        <is>
          <t>-</t>
        </is>
      </c>
      <c r="AD22" s="38" t="inlineStr">
        <is>
          <t>-</t>
        </is>
      </c>
      <c r="AE22" s="38" t="inlineStr">
        <is>
          <t>-</t>
        </is>
      </c>
      <c r="AF22" s="48" t="inlineStr">
        <is>
          <t>-</t>
        </is>
      </c>
      <c r="AG22" s="39">
        <f>COUNTIF(B22:AE22, "P")</f>
        <v/>
      </c>
      <c r="AH22" s="15">
        <f>COUNTIF(B22:AE22, "CL")</f>
        <v/>
      </c>
      <c r="AI22" s="16">
        <f>COUNTIF(B22:AE22, "L")</f>
        <v/>
      </c>
      <c r="AJ22" s="17">
        <f>COUNTIF(B22:AE22, "WO")</f>
        <v/>
      </c>
      <c r="AK22" s="14">
        <f>COUNTIF(B22:AE22, "HO")</f>
        <v/>
      </c>
      <c r="AL22" s="18">
        <f>COUNTIF(B22:AE22, "CF")</f>
        <v/>
      </c>
      <c r="AM22" s="19">
        <f>AG22+AH22+AI22+AL22</f>
        <v/>
      </c>
      <c r="AN22" s="20">
        <f>IF(AM22&gt;0, AG22/AM22, 0)</f>
        <v/>
      </c>
    </row>
    <row r="23" ht="32" customHeight="1">
      <c r="A23" s="35" t="inlineStr">
        <is>
          <t>VAIDEHI
Employee</t>
        </is>
      </c>
      <c r="B23" s="38" t="inlineStr">
        <is>
          <t>-</t>
        </is>
      </c>
      <c r="C23" s="38" t="inlineStr">
        <is>
          <t>-</t>
        </is>
      </c>
      <c r="D23" s="38" t="inlineStr">
        <is>
          <t>-</t>
        </is>
      </c>
      <c r="E23" s="38" t="inlineStr">
        <is>
          <t>-</t>
        </is>
      </c>
      <c r="F23" s="38" t="inlineStr">
        <is>
          <t>-</t>
        </is>
      </c>
      <c r="G23" s="38" t="inlineStr">
        <is>
          <t>-</t>
        </is>
      </c>
      <c r="H23" s="38" t="inlineStr">
        <is>
          <t>-</t>
        </is>
      </c>
      <c r="I23" s="38" t="inlineStr">
        <is>
          <t>-</t>
        </is>
      </c>
      <c r="J23" s="38" t="inlineStr">
        <is>
          <t>-</t>
        </is>
      </c>
      <c r="K23" s="38" t="inlineStr">
        <is>
          <t>-</t>
        </is>
      </c>
      <c r="L23" s="38" t="inlineStr">
        <is>
          <t>-</t>
        </is>
      </c>
      <c r="M23" s="38" t="inlineStr">
        <is>
          <t>-</t>
        </is>
      </c>
      <c r="N23" s="38" t="inlineStr">
        <is>
          <t>-</t>
        </is>
      </c>
      <c r="O23" s="38" t="inlineStr">
        <is>
          <t>-</t>
        </is>
      </c>
      <c r="P23" s="38" t="inlineStr">
        <is>
          <t>-</t>
        </is>
      </c>
      <c r="Q23" s="38" t="inlineStr">
        <is>
          <t>-</t>
        </is>
      </c>
      <c r="R23" s="38" t="inlineStr">
        <is>
          <t>-</t>
        </is>
      </c>
      <c r="S23" s="38" t="inlineStr">
        <is>
          <t>-</t>
        </is>
      </c>
      <c r="T23" s="38" t="inlineStr">
        <is>
          <t>-</t>
        </is>
      </c>
      <c r="U23" s="38" t="inlineStr">
        <is>
          <t>-</t>
        </is>
      </c>
      <c r="V23" s="38" t="inlineStr">
        <is>
          <t>-</t>
        </is>
      </c>
      <c r="W23" s="38" t="inlineStr">
        <is>
          <t>-</t>
        </is>
      </c>
      <c r="X23" s="38" t="inlineStr">
        <is>
          <t>-</t>
        </is>
      </c>
      <c r="Y23" s="38" t="inlineStr">
        <is>
          <t>-</t>
        </is>
      </c>
      <c r="Z23" s="38" t="inlineStr">
        <is>
          <t>-</t>
        </is>
      </c>
      <c r="AA23" s="38" t="inlineStr">
        <is>
          <t>-</t>
        </is>
      </c>
      <c r="AB23" s="38" t="inlineStr">
        <is>
          <t>-</t>
        </is>
      </c>
      <c r="AC23" s="38" t="inlineStr">
        <is>
          <t>-</t>
        </is>
      </c>
      <c r="AD23" s="38" t="inlineStr">
        <is>
          <t>-</t>
        </is>
      </c>
      <c r="AE23" s="38" t="inlineStr">
        <is>
          <t>-</t>
        </is>
      </c>
      <c r="AF23" s="48" t="inlineStr">
        <is>
          <t>-</t>
        </is>
      </c>
      <c r="AG23" s="39">
        <f>COUNTIF(B23:AE23, "P")</f>
        <v/>
      </c>
      <c r="AH23" s="15">
        <f>COUNTIF(B23:AE23, "CL")</f>
        <v/>
      </c>
      <c r="AI23" s="16">
        <f>COUNTIF(B23:AE23, "L")</f>
        <v/>
      </c>
      <c r="AJ23" s="17">
        <f>COUNTIF(B23:AE23, "WO")</f>
        <v/>
      </c>
      <c r="AK23" s="14">
        <f>COUNTIF(B23:AE23, "HO")</f>
        <v/>
      </c>
      <c r="AL23" s="18">
        <f>COUNTIF(B23:AE23, "CF")</f>
        <v/>
      </c>
      <c r="AM23" s="19">
        <f>AG23+AH23+AI23+AL23</f>
        <v/>
      </c>
      <c r="AN23" s="20">
        <f>IF(AM23&gt;0, AG23/AM23, 0)</f>
        <v/>
      </c>
    </row>
    <row r="24" ht="32" customHeight="1">
      <c r="A24" s="40" t="inlineStr">
        <is>
          <t>VAISHNAVI
Employee</t>
        </is>
      </c>
      <c r="B24" s="38" t="inlineStr">
        <is>
          <t>-</t>
        </is>
      </c>
      <c r="C24" s="38" t="inlineStr">
        <is>
          <t>-</t>
        </is>
      </c>
      <c r="D24" s="38" t="inlineStr">
        <is>
          <t>-</t>
        </is>
      </c>
      <c r="E24" s="38" t="inlineStr">
        <is>
          <t>-</t>
        </is>
      </c>
      <c r="F24" s="38" t="inlineStr">
        <is>
          <t>-</t>
        </is>
      </c>
      <c r="G24" s="38" t="inlineStr">
        <is>
          <t>-</t>
        </is>
      </c>
      <c r="H24" s="38" t="inlineStr">
        <is>
          <t>-</t>
        </is>
      </c>
      <c r="I24" s="38" t="inlineStr">
        <is>
          <t>-</t>
        </is>
      </c>
      <c r="J24" s="38" t="inlineStr">
        <is>
          <t>-</t>
        </is>
      </c>
      <c r="K24" s="38" t="inlineStr">
        <is>
          <t>-</t>
        </is>
      </c>
      <c r="L24" s="38" t="inlineStr">
        <is>
          <t>-</t>
        </is>
      </c>
      <c r="M24" s="38" t="inlineStr">
        <is>
          <t>-</t>
        </is>
      </c>
      <c r="N24" s="38" t="inlineStr">
        <is>
          <t>-</t>
        </is>
      </c>
      <c r="O24" s="38" t="inlineStr">
        <is>
          <t>-</t>
        </is>
      </c>
      <c r="P24" s="38" t="inlineStr">
        <is>
          <t>-</t>
        </is>
      </c>
      <c r="Q24" s="38" t="inlineStr">
        <is>
          <t>-</t>
        </is>
      </c>
      <c r="R24" s="38" t="inlineStr">
        <is>
          <t>-</t>
        </is>
      </c>
      <c r="S24" s="38" t="inlineStr">
        <is>
          <t>-</t>
        </is>
      </c>
      <c r="T24" s="38" t="inlineStr">
        <is>
          <t>-</t>
        </is>
      </c>
      <c r="U24" s="38" t="inlineStr">
        <is>
          <t>-</t>
        </is>
      </c>
      <c r="V24" s="38" t="inlineStr">
        <is>
          <t>-</t>
        </is>
      </c>
      <c r="W24" s="38" t="inlineStr">
        <is>
          <t>-</t>
        </is>
      </c>
      <c r="X24" s="38" t="inlineStr">
        <is>
          <t>-</t>
        </is>
      </c>
      <c r="Y24" s="38" t="inlineStr">
        <is>
          <t>-</t>
        </is>
      </c>
      <c r="Z24" s="38" t="inlineStr">
        <is>
          <t>-</t>
        </is>
      </c>
      <c r="AA24" s="38" t="inlineStr">
        <is>
          <t>-</t>
        </is>
      </c>
      <c r="AB24" s="38" t="inlineStr">
        <is>
          <t>-</t>
        </is>
      </c>
      <c r="AC24" s="38" t="inlineStr">
        <is>
          <t>-</t>
        </is>
      </c>
      <c r="AD24" s="38" t="inlineStr">
        <is>
          <t>-</t>
        </is>
      </c>
      <c r="AE24" s="38" t="inlineStr">
        <is>
          <t>-</t>
        </is>
      </c>
      <c r="AF24" s="48" t="inlineStr">
        <is>
          <t>-</t>
        </is>
      </c>
      <c r="AG24" s="39">
        <f>COUNTIF(B24:AE24, "P")</f>
        <v/>
      </c>
      <c r="AH24" s="15">
        <f>COUNTIF(B24:AE24, "CL")</f>
        <v/>
      </c>
      <c r="AI24" s="16">
        <f>COUNTIF(B24:AE24, "L")</f>
        <v/>
      </c>
      <c r="AJ24" s="17">
        <f>COUNTIF(B24:AE24, "WO")</f>
        <v/>
      </c>
      <c r="AK24" s="14">
        <f>COUNTIF(B24:AE24, "HO")</f>
        <v/>
      </c>
      <c r="AL24" s="18">
        <f>COUNTIF(B24:AE24, "CF")</f>
        <v/>
      </c>
      <c r="AM24" s="19">
        <f>AG24+AH24+AI24+AL24</f>
        <v/>
      </c>
      <c r="AN24" s="20">
        <f>IF(AM24&gt;0, AG24/AM24, 0)</f>
        <v/>
      </c>
    </row>
    <row r="25" ht="32" customHeight="1">
      <c r="A25" s="35" t="inlineStr">
        <is>
          <t>VANI
Employee</t>
        </is>
      </c>
      <c r="B25" s="38" t="inlineStr">
        <is>
          <t>-</t>
        </is>
      </c>
      <c r="C25" s="38" t="inlineStr">
        <is>
          <t>-</t>
        </is>
      </c>
      <c r="D25" s="38" t="inlineStr">
        <is>
          <t>-</t>
        </is>
      </c>
      <c r="E25" s="38" t="inlineStr">
        <is>
          <t>-</t>
        </is>
      </c>
      <c r="F25" s="38" t="inlineStr">
        <is>
          <t>-</t>
        </is>
      </c>
      <c r="G25" s="38" t="inlineStr">
        <is>
          <t>-</t>
        </is>
      </c>
      <c r="H25" s="38" t="inlineStr">
        <is>
          <t>-</t>
        </is>
      </c>
      <c r="I25" s="38" t="inlineStr">
        <is>
          <t>-</t>
        </is>
      </c>
      <c r="J25" s="38" t="inlineStr">
        <is>
          <t>-</t>
        </is>
      </c>
      <c r="K25" s="38" t="inlineStr">
        <is>
          <t>-</t>
        </is>
      </c>
      <c r="L25" s="38" t="inlineStr">
        <is>
          <t>-</t>
        </is>
      </c>
      <c r="M25" s="38" t="inlineStr">
        <is>
          <t>-</t>
        </is>
      </c>
      <c r="N25" s="38" t="inlineStr">
        <is>
          <t>-</t>
        </is>
      </c>
      <c r="O25" s="38" t="inlineStr">
        <is>
          <t>-</t>
        </is>
      </c>
      <c r="P25" s="38" t="inlineStr">
        <is>
          <t>-</t>
        </is>
      </c>
      <c r="Q25" s="38" t="inlineStr">
        <is>
          <t>-</t>
        </is>
      </c>
      <c r="R25" s="38" t="inlineStr">
        <is>
          <t>-</t>
        </is>
      </c>
      <c r="S25" s="38" t="inlineStr">
        <is>
          <t>-</t>
        </is>
      </c>
      <c r="T25" s="38" t="inlineStr">
        <is>
          <t>-</t>
        </is>
      </c>
      <c r="U25" s="38" t="inlineStr">
        <is>
          <t>-</t>
        </is>
      </c>
      <c r="V25" s="38" t="inlineStr">
        <is>
          <t>-</t>
        </is>
      </c>
      <c r="W25" s="38" t="inlineStr">
        <is>
          <t>-</t>
        </is>
      </c>
      <c r="X25" s="38" t="inlineStr">
        <is>
          <t>-</t>
        </is>
      </c>
      <c r="Y25" s="38" t="inlineStr">
        <is>
          <t>-</t>
        </is>
      </c>
      <c r="Z25" s="38" t="inlineStr">
        <is>
          <t>-</t>
        </is>
      </c>
      <c r="AA25" s="38" t="inlineStr">
        <is>
          <t>-</t>
        </is>
      </c>
      <c r="AB25" s="38" t="inlineStr">
        <is>
          <t>-</t>
        </is>
      </c>
      <c r="AC25" s="38" t="inlineStr">
        <is>
          <t>-</t>
        </is>
      </c>
      <c r="AD25" s="38" t="inlineStr">
        <is>
          <t>-</t>
        </is>
      </c>
      <c r="AE25" s="38" t="inlineStr">
        <is>
          <t>-</t>
        </is>
      </c>
      <c r="AF25" s="48" t="inlineStr">
        <is>
          <t>-</t>
        </is>
      </c>
      <c r="AG25" s="39">
        <f>COUNTIF(B25:AE25, "P")</f>
        <v/>
      </c>
      <c r="AH25" s="15">
        <f>COUNTIF(B25:AE25, "CL")</f>
        <v/>
      </c>
      <c r="AI25" s="16">
        <f>COUNTIF(B25:AE25, "L")</f>
        <v/>
      </c>
      <c r="AJ25" s="17">
        <f>COUNTIF(B25:AE25, "WO")</f>
        <v/>
      </c>
      <c r="AK25" s="14">
        <f>COUNTIF(B25:AE25, "HO")</f>
        <v/>
      </c>
      <c r="AL25" s="18">
        <f>COUNTIF(B25:AE25, "CF")</f>
        <v/>
      </c>
      <c r="AM25" s="19">
        <f>AG25+AH25+AI25+AL25</f>
        <v/>
      </c>
      <c r="AN25" s="20">
        <f>IF(AM25&gt;0, AG25/AM25, 0)</f>
        <v/>
      </c>
    </row>
    <row r="26" ht="32" customHeight="1">
      <c r="A26" s="40" t="inlineStr">
        <is>
          <t>VITTAL
Employee</t>
        </is>
      </c>
      <c r="B26" s="38" t="inlineStr">
        <is>
          <t>-</t>
        </is>
      </c>
      <c r="C26" s="38" t="inlineStr">
        <is>
          <t>-</t>
        </is>
      </c>
      <c r="D26" s="38" t="inlineStr">
        <is>
          <t>-</t>
        </is>
      </c>
      <c r="E26" s="38" t="inlineStr">
        <is>
          <t>-</t>
        </is>
      </c>
      <c r="F26" s="38" t="inlineStr">
        <is>
          <t>-</t>
        </is>
      </c>
      <c r="G26" s="38" t="inlineStr">
        <is>
          <t>-</t>
        </is>
      </c>
      <c r="H26" s="38" t="inlineStr">
        <is>
          <t>-</t>
        </is>
      </c>
      <c r="I26" s="38" t="inlineStr">
        <is>
          <t>-</t>
        </is>
      </c>
      <c r="J26" s="38" t="inlineStr">
        <is>
          <t>-</t>
        </is>
      </c>
      <c r="K26" s="38" t="inlineStr">
        <is>
          <t>-</t>
        </is>
      </c>
      <c r="L26" s="38" t="inlineStr">
        <is>
          <t>-</t>
        </is>
      </c>
      <c r="M26" s="38" t="inlineStr">
        <is>
          <t>-</t>
        </is>
      </c>
      <c r="N26" s="38" t="inlineStr">
        <is>
          <t>-</t>
        </is>
      </c>
      <c r="O26" s="38" t="inlineStr">
        <is>
          <t>-</t>
        </is>
      </c>
      <c r="P26" s="38" t="inlineStr">
        <is>
          <t>-</t>
        </is>
      </c>
      <c r="Q26" s="38" t="inlineStr">
        <is>
          <t>-</t>
        </is>
      </c>
      <c r="R26" s="38" t="inlineStr">
        <is>
          <t>-</t>
        </is>
      </c>
      <c r="S26" s="38" t="inlineStr">
        <is>
          <t>-</t>
        </is>
      </c>
      <c r="T26" s="38" t="inlineStr">
        <is>
          <t>-</t>
        </is>
      </c>
      <c r="U26" s="38" t="inlineStr">
        <is>
          <t>-</t>
        </is>
      </c>
      <c r="V26" s="38" t="inlineStr">
        <is>
          <t>-</t>
        </is>
      </c>
      <c r="W26" s="38" t="inlineStr">
        <is>
          <t>-</t>
        </is>
      </c>
      <c r="X26" s="38" t="inlineStr">
        <is>
          <t>-</t>
        </is>
      </c>
      <c r="Y26" s="38" t="inlineStr">
        <is>
          <t>-</t>
        </is>
      </c>
      <c r="Z26" s="38" t="inlineStr">
        <is>
          <t>-</t>
        </is>
      </c>
      <c r="AA26" s="38" t="inlineStr">
        <is>
          <t>-</t>
        </is>
      </c>
      <c r="AB26" s="38" t="inlineStr">
        <is>
          <t>-</t>
        </is>
      </c>
      <c r="AC26" s="38" t="inlineStr">
        <is>
          <t>-</t>
        </is>
      </c>
      <c r="AD26" s="38" t="inlineStr">
        <is>
          <t>-</t>
        </is>
      </c>
      <c r="AE26" s="38" t="inlineStr">
        <is>
          <t>-</t>
        </is>
      </c>
      <c r="AF26" s="48" t="inlineStr">
        <is>
          <t>-</t>
        </is>
      </c>
      <c r="AG26" s="39">
        <f>COUNTIF(B26:AE26, "P")</f>
        <v/>
      </c>
      <c r="AH26" s="15">
        <f>COUNTIF(B26:AE26, "CL")</f>
        <v/>
      </c>
      <c r="AI26" s="16">
        <f>COUNTIF(B26:AE26, "L")</f>
        <v/>
      </c>
      <c r="AJ26" s="17">
        <f>COUNTIF(B26:AE26, "WO")</f>
        <v/>
      </c>
      <c r="AK26" s="14">
        <f>COUNTIF(B26:AE26, "HO")</f>
        <v/>
      </c>
      <c r="AL26" s="18">
        <f>COUNTIF(B26:AE26, "CF")</f>
        <v/>
      </c>
      <c r="AM26" s="19">
        <f>AG26+AH26+AI26+AL26</f>
        <v/>
      </c>
      <c r="AN26" s="20">
        <f>IF(AM26&gt;0, AG26/AM26, 0)</f>
        <v/>
      </c>
    </row>
    <row r="27" ht="30" customHeight="1">
      <c r="A27" s="44" t="inlineStr">
        <is>
          <t>Overall Staff Total / Daily Present</t>
        </is>
      </c>
      <c r="B27" s="45">
        <f>COUNTIF(B5:B26, "P")</f>
        <v/>
      </c>
      <c r="C27" s="45">
        <f>COUNTIF(C5:C26, "P")</f>
        <v/>
      </c>
      <c r="D27" s="45">
        <f>COUNTIF(D5:D26, "P")</f>
        <v/>
      </c>
      <c r="E27" s="45">
        <f>COUNTIF(E5:E26, "P")</f>
        <v/>
      </c>
      <c r="F27" s="45">
        <f>COUNTIF(F5:F26, "P")</f>
        <v/>
      </c>
      <c r="G27" s="45">
        <f>COUNTIF(G5:G26, "P")</f>
        <v/>
      </c>
      <c r="H27" s="45">
        <f>COUNTIF(H5:H26, "P")</f>
        <v/>
      </c>
      <c r="I27" s="45">
        <f>COUNTIF(I5:I26, "P")</f>
        <v/>
      </c>
      <c r="J27" s="45">
        <f>COUNTIF(J5:J26, "P")</f>
        <v/>
      </c>
      <c r="K27" s="45">
        <f>COUNTIF(K5:K26, "P")</f>
        <v/>
      </c>
      <c r="L27" s="45">
        <f>COUNTIF(L5:L26, "P")</f>
        <v/>
      </c>
      <c r="M27" s="45">
        <f>COUNTIF(M5:M26, "P")</f>
        <v/>
      </c>
      <c r="N27" s="45">
        <f>COUNTIF(N5:N26, "P")</f>
        <v/>
      </c>
      <c r="O27" s="45">
        <f>COUNTIF(O5:O26, "P")</f>
        <v/>
      </c>
      <c r="P27" s="45">
        <f>COUNTIF(P5:P26, "P")</f>
        <v/>
      </c>
      <c r="Q27" s="45">
        <f>COUNTIF(Q5:Q26, "P")</f>
        <v/>
      </c>
      <c r="R27" s="45">
        <f>COUNTIF(R5:R26, "P")</f>
        <v/>
      </c>
      <c r="S27" s="45">
        <f>COUNTIF(S5:S26, "P")</f>
        <v/>
      </c>
      <c r="T27" s="45">
        <f>COUNTIF(T5:T26, "P")</f>
        <v/>
      </c>
      <c r="U27" s="45">
        <f>COUNTIF(U5:U26, "P")</f>
        <v/>
      </c>
      <c r="V27" s="45">
        <f>COUNTIF(V5:V26, "P")</f>
        <v/>
      </c>
      <c r="W27" s="45">
        <f>COUNTIF(W5:W26, "P")</f>
        <v/>
      </c>
      <c r="X27" s="45">
        <f>COUNTIF(X5:X26, "P")</f>
        <v/>
      </c>
      <c r="Y27" s="45">
        <f>COUNTIF(Y5:Y26, "P")</f>
        <v/>
      </c>
      <c r="Z27" s="45">
        <f>COUNTIF(Z5:Z26, "P")</f>
        <v/>
      </c>
      <c r="AA27" s="45">
        <f>COUNTIF(AA5:AA26, "P")</f>
        <v/>
      </c>
      <c r="AB27" s="45">
        <f>COUNTIF(AB5:AB26, "P")</f>
        <v/>
      </c>
      <c r="AC27" s="45">
        <f>COUNTIF(AC5:AC26, "P")</f>
        <v/>
      </c>
      <c r="AD27" s="45">
        <f>COUNTIF(AD5:AD26, "P")</f>
        <v/>
      </c>
      <c r="AE27" s="45">
        <f>COUNTIF(AE5:AE26, "P")</f>
        <v/>
      </c>
      <c r="AF27" s="49" t="inlineStr">
        <is>
          <t>-</t>
        </is>
      </c>
      <c r="AG27" s="46">
        <f>SUM(AG5:AG26)</f>
        <v/>
      </c>
      <c r="AH27" s="46">
        <f>SUM(AH5:AH26)</f>
        <v/>
      </c>
      <c r="AI27" s="46">
        <f>SUM(AI5:AI26)</f>
        <v/>
      </c>
      <c r="AJ27" s="46">
        <f>SUM(AJ5:AJ26)</f>
        <v/>
      </c>
      <c r="AK27" s="46">
        <f>SUM(AK5:AK26)</f>
        <v/>
      </c>
      <c r="AL27" s="46">
        <f>SUM(AL5:AL26)</f>
        <v/>
      </c>
      <c r="AM27" s="46">
        <f>SUM(AM5:AM26)</f>
        <v/>
      </c>
      <c r="AN27" s="24">
        <f>IF(AM27&gt;0, AG27/AM27, 0)</f>
        <v/>
      </c>
    </row>
  </sheetData>
  <mergeCells count="2">
    <mergeCell ref="A2:AN2"/>
    <mergeCell ref="A1:A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2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11" customWidth="1" min="39" max="39"/>
    <col width="14" customWidth="1" min="40" max="40"/>
  </cols>
  <sheetData>
    <row r="1" ht="36" customHeight="1">
      <c r="A1" s="25" t="inlineStr">
        <is>
          <t>VASUS ATTENDANCE TRACKER — MARCH 2026</t>
        </is>
      </c>
    </row>
    <row r="2" ht="24" customHeight="1">
      <c r="A2" s="2" t="inlineStr">
        <is>
          <t>Status Codes:  [P] Present (Green)  |  [CL] Casual Leave (Teal)  |  [L] Leave (Red)  |  [WO] Week Off (Purple)  |  [HO] Holiday (Mint)  |  [CF] Comp Off (Pink)  |  [-] Blank</t>
        </is>
      </c>
    </row>
    <row r="3" ht="10" customHeight="1"/>
    <row r="4" ht="36" customHeight="1">
      <c r="A4" s="26" t="inlineStr">
        <is>
          <t>Employee / Doctor</t>
        </is>
      </c>
      <c r="B4" s="27" t="inlineStr">
        <is>
          <t>1
Sun</t>
        </is>
      </c>
      <c r="C4" s="27" t="inlineStr">
        <is>
          <t>2
Mon</t>
        </is>
      </c>
      <c r="D4" s="27" t="inlineStr">
        <is>
          <t>3
Tue</t>
        </is>
      </c>
      <c r="E4" s="27" t="inlineStr">
        <is>
          <t>4
Wed</t>
        </is>
      </c>
      <c r="F4" s="27" t="inlineStr">
        <is>
          <t>5
Thu</t>
        </is>
      </c>
      <c r="G4" s="27" t="inlineStr">
        <is>
          <t>6
Fri</t>
        </is>
      </c>
      <c r="H4" s="27" t="inlineStr">
        <is>
          <t>7
Sat</t>
        </is>
      </c>
      <c r="I4" s="27" t="inlineStr">
        <is>
          <t>8
Sun</t>
        </is>
      </c>
      <c r="J4" s="27" t="inlineStr">
        <is>
          <t>9
Mon</t>
        </is>
      </c>
      <c r="K4" s="27" t="inlineStr">
        <is>
          <t>10
Tue</t>
        </is>
      </c>
      <c r="L4" s="27" t="inlineStr">
        <is>
          <t>11
Wed</t>
        </is>
      </c>
      <c r="M4" s="27" t="inlineStr">
        <is>
          <t>12
Thu</t>
        </is>
      </c>
      <c r="N4" s="27" t="inlineStr">
        <is>
          <t>13
Fri</t>
        </is>
      </c>
      <c r="O4" s="27" t="inlineStr">
        <is>
          <t>14
Sat</t>
        </is>
      </c>
      <c r="P4" s="27" t="inlineStr">
        <is>
          <t>15
Sun</t>
        </is>
      </c>
      <c r="Q4" s="27" t="inlineStr">
        <is>
          <t>16
Mon</t>
        </is>
      </c>
      <c r="R4" s="27" t="inlineStr">
        <is>
          <t>17
Tue</t>
        </is>
      </c>
      <c r="S4" s="27" t="inlineStr">
        <is>
          <t>18
Wed</t>
        </is>
      </c>
      <c r="T4" s="27" t="inlineStr">
        <is>
          <t>19
Thu</t>
        </is>
      </c>
      <c r="U4" s="27" t="inlineStr">
        <is>
          <t>20
Fri</t>
        </is>
      </c>
      <c r="V4" s="27" t="inlineStr">
        <is>
          <t>21
Sat</t>
        </is>
      </c>
      <c r="W4" s="27" t="inlineStr">
        <is>
          <t>22
Sun</t>
        </is>
      </c>
      <c r="X4" s="27" t="inlineStr">
        <is>
          <t>23
Mon</t>
        </is>
      </c>
      <c r="Y4" s="27" t="inlineStr">
        <is>
          <t>24
Tue</t>
        </is>
      </c>
      <c r="Z4" s="27" t="inlineStr">
        <is>
          <t>25
Wed</t>
        </is>
      </c>
      <c r="AA4" s="27" t="inlineStr">
        <is>
          <t>26
Thu</t>
        </is>
      </c>
      <c r="AB4" s="27" t="inlineStr">
        <is>
          <t>27
Fri</t>
        </is>
      </c>
      <c r="AC4" s="27" t="inlineStr">
        <is>
          <t>28
Sat</t>
        </is>
      </c>
      <c r="AD4" s="27" t="inlineStr">
        <is>
          <t>29
Sun</t>
        </is>
      </c>
      <c r="AE4" s="27" t="inlineStr">
        <is>
          <t>30
Mon</t>
        </is>
      </c>
      <c r="AF4" s="27" t="inlineStr">
        <is>
          <t>31
Tue</t>
        </is>
      </c>
      <c r="AG4" s="28" t="inlineStr">
        <is>
          <t>P</t>
        </is>
      </c>
      <c r="AH4" s="29" t="inlineStr">
        <is>
          <t>CL</t>
        </is>
      </c>
      <c r="AI4" s="30" t="inlineStr">
        <is>
          <t>L</t>
        </is>
      </c>
      <c r="AJ4" s="31" t="inlineStr">
        <is>
          <t>WO</t>
        </is>
      </c>
      <c r="AK4" s="32" t="inlineStr">
        <is>
          <t>HO</t>
        </is>
      </c>
      <c r="AL4" s="33" t="inlineStr">
        <is>
          <t>CF</t>
        </is>
      </c>
      <c r="AM4" s="27" t="inlineStr">
        <is>
          <t>Working
Days</t>
        </is>
      </c>
      <c r="AN4" s="34" t="inlineStr">
        <is>
          <t>Attendance
%</t>
        </is>
      </c>
    </row>
    <row r="5" ht="32" customHeight="1">
      <c r="A5" s="35" t="inlineStr">
        <is>
          <t>DR PRANAY
Doctor</t>
        </is>
      </c>
      <c r="B5" s="37" t="inlineStr">
        <is>
          <t>WO</t>
        </is>
      </c>
      <c r="C5" s="36" t="inlineStr">
        <is>
          <t>P</t>
        </is>
      </c>
      <c r="D5" s="36" t="inlineStr">
        <is>
          <t>P</t>
        </is>
      </c>
      <c r="E5" s="43" t="inlineStr">
        <is>
          <t>CF</t>
        </is>
      </c>
      <c r="F5" s="36" t="inlineStr">
        <is>
          <t>P</t>
        </is>
      </c>
      <c r="G5" s="36" t="inlineStr">
        <is>
          <t>P</t>
        </is>
      </c>
      <c r="H5" s="36" t="inlineStr">
        <is>
          <t>P</t>
        </is>
      </c>
      <c r="I5" s="37" t="inlineStr">
        <is>
          <t>WO</t>
        </is>
      </c>
      <c r="J5" s="36" t="inlineStr">
        <is>
          <t>P</t>
        </is>
      </c>
      <c r="K5" s="36" t="inlineStr">
        <is>
          <t>P</t>
        </is>
      </c>
      <c r="L5" s="36" t="inlineStr">
        <is>
          <t>P</t>
        </is>
      </c>
      <c r="M5" s="36" t="inlineStr">
        <is>
          <t>P</t>
        </is>
      </c>
      <c r="N5" s="36" t="inlineStr">
        <is>
          <t>P</t>
        </is>
      </c>
      <c r="O5" s="36" t="inlineStr">
        <is>
          <t>P</t>
        </is>
      </c>
      <c r="P5" s="37" t="inlineStr">
        <is>
          <t>WO</t>
        </is>
      </c>
      <c r="Q5" s="36" t="inlineStr">
        <is>
          <t>P</t>
        </is>
      </c>
      <c r="R5" s="36" t="inlineStr">
        <is>
          <t>P</t>
        </is>
      </c>
      <c r="S5" s="36" t="inlineStr">
        <is>
          <t>P</t>
        </is>
      </c>
      <c r="T5" s="36" t="inlineStr">
        <is>
          <t>P</t>
        </is>
      </c>
      <c r="U5" s="36" t="inlineStr">
        <is>
          <t>P</t>
        </is>
      </c>
      <c r="V5" s="36" t="inlineStr">
        <is>
          <t>P</t>
        </is>
      </c>
      <c r="W5" s="37" t="inlineStr">
        <is>
          <t>WO</t>
        </is>
      </c>
      <c r="X5" s="36" t="inlineStr">
        <is>
          <t>P</t>
        </is>
      </c>
      <c r="Y5" s="36" t="inlineStr">
        <is>
          <t>P</t>
        </is>
      </c>
      <c r="Z5" s="36" t="inlineStr">
        <is>
          <t>P</t>
        </is>
      </c>
      <c r="AA5" s="36" t="inlineStr">
        <is>
          <t>P</t>
        </is>
      </c>
      <c r="AB5" s="36" t="inlineStr">
        <is>
          <t>P</t>
        </is>
      </c>
      <c r="AC5" s="36" t="inlineStr">
        <is>
          <t>P</t>
        </is>
      </c>
      <c r="AD5" s="37" t="inlineStr">
        <is>
          <t>WO</t>
        </is>
      </c>
      <c r="AE5" s="38" t="inlineStr">
        <is>
          <t>-</t>
        </is>
      </c>
      <c r="AF5" s="38" t="inlineStr">
        <is>
          <t>-</t>
        </is>
      </c>
      <c r="AG5" s="39">
        <f>COUNTIF(B5:AF5, "P")</f>
        <v/>
      </c>
      <c r="AH5" s="15">
        <f>COUNTIF(B5:AF5, "CL")</f>
        <v/>
      </c>
      <c r="AI5" s="16">
        <f>COUNTIF(B5:AF5, "L")</f>
        <v/>
      </c>
      <c r="AJ5" s="17">
        <f>COUNTIF(B5:AF5, "WO")</f>
        <v/>
      </c>
      <c r="AK5" s="14">
        <f>COUNTIF(B5:AF5, "HO")</f>
        <v/>
      </c>
      <c r="AL5" s="18">
        <f>COUNTIF(B5:AF5, "CF")</f>
        <v/>
      </c>
      <c r="AM5" s="19">
        <f>AG5+AH5+AI5+AL5</f>
        <v/>
      </c>
      <c r="AN5" s="20">
        <f>IF(AM5&gt;0, AG5/AM5, 0)</f>
        <v/>
      </c>
    </row>
    <row r="6" ht="32" customHeight="1">
      <c r="A6" s="40" t="inlineStr">
        <is>
          <t>DR CHINJU
Doctor</t>
        </is>
      </c>
      <c r="B6" s="37" t="inlineStr">
        <is>
          <t>WO</t>
        </is>
      </c>
      <c r="C6" s="36" t="inlineStr">
        <is>
          <t>P</t>
        </is>
      </c>
      <c r="D6" s="36" t="inlineStr">
        <is>
          <t>P</t>
        </is>
      </c>
      <c r="E6" s="36" t="inlineStr">
        <is>
          <t>P</t>
        </is>
      </c>
      <c r="F6" s="36" t="inlineStr">
        <is>
          <t>P</t>
        </is>
      </c>
      <c r="G6" s="37" t="inlineStr">
        <is>
          <t>WO</t>
        </is>
      </c>
      <c r="H6" s="36" t="inlineStr">
        <is>
          <t>P</t>
        </is>
      </c>
      <c r="I6" s="36" t="inlineStr">
        <is>
          <t>P</t>
        </is>
      </c>
      <c r="J6" s="36" t="inlineStr">
        <is>
          <t>P</t>
        </is>
      </c>
      <c r="K6" s="41" t="inlineStr">
        <is>
          <t>CL</t>
        </is>
      </c>
      <c r="L6" s="36" t="inlineStr">
        <is>
          <t>P</t>
        </is>
      </c>
      <c r="M6" s="36" t="inlineStr">
        <is>
          <t>P</t>
        </is>
      </c>
      <c r="N6" s="37" t="inlineStr">
        <is>
          <t>WO</t>
        </is>
      </c>
      <c r="O6" s="36" t="inlineStr">
        <is>
          <t>P</t>
        </is>
      </c>
      <c r="P6" s="36" t="inlineStr">
        <is>
          <t>P</t>
        </is>
      </c>
      <c r="Q6" s="36" t="inlineStr">
        <is>
          <t>P</t>
        </is>
      </c>
      <c r="R6" s="36" t="inlineStr">
        <is>
          <t>P</t>
        </is>
      </c>
      <c r="S6" s="36" t="inlineStr">
        <is>
          <t>P</t>
        </is>
      </c>
      <c r="T6" s="36" t="inlineStr">
        <is>
          <t>P</t>
        </is>
      </c>
      <c r="U6" s="37" t="inlineStr">
        <is>
          <t>WO</t>
        </is>
      </c>
      <c r="V6" s="36" t="inlineStr">
        <is>
          <t>P</t>
        </is>
      </c>
      <c r="W6" s="36" t="inlineStr">
        <is>
          <t>P</t>
        </is>
      </c>
      <c r="X6" s="36" t="inlineStr">
        <is>
          <t>P</t>
        </is>
      </c>
      <c r="Y6" s="36" t="inlineStr">
        <is>
          <t>P</t>
        </is>
      </c>
      <c r="Z6" s="36" t="inlineStr">
        <is>
          <t>P</t>
        </is>
      </c>
      <c r="AA6" s="36" t="inlineStr">
        <is>
          <t>P</t>
        </is>
      </c>
      <c r="AB6" s="37" t="inlineStr">
        <is>
          <t>WO</t>
        </is>
      </c>
      <c r="AC6" s="36" t="inlineStr">
        <is>
          <t>P</t>
        </is>
      </c>
      <c r="AD6" s="38" t="inlineStr">
        <is>
          <t>-</t>
        </is>
      </c>
      <c r="AE6" s="38" t="inlineStr">
        <is>
          <t>-</t>
        </is>
      </c>
      <c r="AF6" s="38" t="inlineStr">
        <is>
          <t>-</t>
        </is>
      </c>
      <c r="AG6" s="39">
        <f>COUNTIF(B6:AF6, "P")</f>
        <v/>
      </c>
      <c r="AH6" s="15">
        <f>COUNTIF(B6:AF6, "CL")</f>
        <v/>
      </c>
      <c r="AI6" s="16">
        <f>COUNTIF(B6:AF6, "L")</f>
        <v/>
      </c>
      <c r="AJ6" s="17">
        <f>COUNTIF(B6:AF6, "WO")</f>
        <v/>
      </c>
      <c r="AK6" s="14">
        <f>COUNTIF(B6:AF6, "HO")</f>
        <v/>
      </c>
      <c r="AL6" s="18">
        <f>COUNTIF(B6:AF6, "CF")</f>
        <v/>
      </c>
      <c r="AM6" s="19">
        <f>AG6+AH6+AI6+AL6</f>
        <v/>
      </c>
      <c r="AN6" s="20">
        <f>IF(AM6&gt;0, AG6/AM6, 0)</f>
        <v/>
      </c>
    </row>
    <row r="7" ht="32" customHeight="1">
      <c r="A7" s="35" t="inlineStr">
        <is>
          <t>DR SUNITHA
Doctor</t>
        </is>
      </c>
      <c r="B7" s="37" t="inlineStr">
        <is>
          <t>WO</t>
        </is>
      </c>
      <c r="C7" s="36" t="inlineStr">
        <is>
          <t>P</t>
        </is>
      </c>
      <c r="D7" s="36" t="inlineStr">
        <is>
          <t>P</t>
        </is>
      </c>
      <c r="E7" s="36" t="inlineStr">
        <is>
          <t>P</t>
        </is>
      </c>
      <c r="F7" s="36" t="inlineStr">
        <is>
          <t>P</t>
        </is>
      </c>
      <c r="G7" s="36" t="inlineStr">
        <is>
          <t>P</t>
        </is>
      </c>
      <c r="H7" s="36" t="inlineStr">
        <is>
          <t>P</t>
        </is>
      </c>
      <c r="I7" s="37" t="inlineStr">
        <is>
          <t>WO</t>
        </is>
      </c>
      <c r="J7" s="36" t="inlineStr">
        <is>
          <t>P</t>
        </is>
      </c>
      <c r="K7" s="36" t="inlineStr">
        <is>
          <t>P</t>
        </is>
      </c>
      <c r="L7" s="36" t="inlineStr">
        <is>
          <t>P</t>
        </is>
      </c>
      <c r="M7" s="36" t="inlineStr">
        <is>
          <t>P</t>
        </is>
      </c>
      <c r="N7" s="36" t="inlineStr">
        <is>
          <t>P</t>
        </is>
      </c>
      <c r="O7" s="41" t="inlineStr">
        <is>
          <t>CL</t>
        </is>
      </c>
      <c r="P7" s="37" t="inlineStr">
        <is>
          <t>WO</t>
        </is>
      </c>
      <c r="Q7" s="43" t="inlineStr">
        <is>
          <t>CF</t>
        </is>
      </c>
      <c r="R7" s="36" t="inlineStr">
        <is>
          <t>P</t>
        </is>
      </c>
      <c r="S7" s="36" t="inlineStr">
        <is>
          <t>P</t>
        </is>
      </c>
      <c r="T7" s="36" t="inlineStr">
        <is>
          <t>P</t>
        </is>
      </c>
      <c r="U7" s="36" t="inlineStr">
        <is>
          <t>P</t>
        </is>
      </c>
      <c r="V7" s="36" t="inlineStr">
        <is>
          <t>P</t>
        </is>
      </c>
      <c r="W7" s="37" t="inlineStr">
        <is>
          <t>WO</t>
        </is>
      </c>
      <c r="X7" s="36" t="inlineStr">
        <is>
          <t>P</t>
        </is>
      </c>
      <c r="Y7" s="36" t="inlineStr">
        <is>
          <t>P</t>
        </is>
      </c>
      <c r="Z7" s="36" t="inlineStr">
        <is>
          <t>P</t>
        </is>
      </c>
      <c r="AA7" s="36" t="inlineStr">
        <is>
          <t>P</t>
        </is>
      </c>
      <c r="AB7" s="36" t="inlineStr">
        <is>
          <t>P</t>
        </is>
      </c>
      <c r="AC7" s="36" t="inlineStr">
        <is>
          <t>P</t>
        </is>
      </c>
      <c r="AD7" s="37" t="inlineStr">
        <is>
          <t>WO</t>
        </is>
      </c>
      <c r="AE7" s="38" t="inlineStr">
        <is>
          <t>-</t>
        </is>
      </c>
      <c r="AF7" s="38" t="inlineStr">
        <is>
          <t>-</t>
        </is>
      </c>
      <c r="AG7" s="39">
        <f>COUNTIF(B7:AF7, "P")</f>
        <v/>
      </c>
      <c r="AH7" s="15">
        <f>COUNTIF(B7:AF7, "CL")</f>
        <v/>
      </c>
      <c r="AI7" s="16">
        <f>COUNTIF(B7:AF7, "L")</f>
        <v/>
      </c>
      <c r="AJ7" s="17">
        <f>COUNTIF(B7:AF7, "WO")</f>
        <v/>
      </c>
      <c r="AK7" s="14">
        <f>COUNTIF(B7:AF7, "HO")</f>
        <v/>
      </c>
      <c r="AL7" s="18">
        <f>COUNTIF(B7:AF7, "CF")</f>
        <v/>
      </c>
      <c r="AM7" s="19">
        <f>AG7+AH7+AI7+AL7</f>
        <v/>
      </c>
      <c r="AN7" s="20">
        <f>IF(AM7&gt;0, AG7/AM7, 0)</f>
        <v/>
      </c>
    </row>
    <row r="8" ht="32" customHeight="1">
      <c r="A8" s="40" t="inlineStr">
        <is>
          <t>DR BINDU
Doctor</t>
        </is>
      </c>
      <c r="B8" s="37" t="inlineStr">
        <is>
          <t>WO</t>
        </is>
      </c>
      <c r="C8" s="36" t="inlineStr">
        <is>
          <t>P</t>
        </is>
      </c>
      <c r="D8" s="36" t="inlineStr">
        <is>
          <t>P</t>
        </is>
      </c>
      <c r="E8" s="36" t="inlineStr">
        <is>
          <t>P</t>
        </is>
      </c>
      <c r="F8" s="36" t="inlineStr">
        <is>
          <t>P</t>
        </is>
      </c>
      <c r="G8" s="36" t="inlineStr">
        <is>
          <t>P</t>
        </is>
      </c>
      <c r="H8" s="36" t="inlineStr">
        <is>
          <t>P</t>
        </is>
      </c>
      <c r="I8" s="37" t="inlineStr">
        <is>
          <t>WO</t>
        </is>
      </c>
      <c r="J8" s="36" t="inlineStr">
        <is>
          <t>P</t>
        </is>
      </c>
      <c r="K8" s="36" t="inlineStr">
        <is>
          <t>P</t>
        </is>
      </c>
      <c r="L8" s="36" t="inlineStr">
        <is>
          <t>P</t>
        </is>
      </c>
      <c r="M8" s="36" t="inlineStr">
        <is>
          <t>P</t>
        </is>
      </c>
      <c r="N8" s="41" t="inlineStr">
        <is>
          <t>CL</t>
        </is>
      </c>
      <c r="O8" s="42" t="inlineStr">
        <is>
          <t>L</t>
        </is>
      </c>
      <c r="P8" s="37" t="inlineStr">
        <is>
          <t>WO</t>
        </is>
      </c>
      <c r="Q8" s="42" t="inlineStr">
        <is>
          <t>L</t>
        </is>
      </c>
      <c r="R8" s="42" t="inlineStr">
        <is>
          <t>L</t>
        </is>
      </c>
      <c r="S8" s="36" t="inlineStr">
        <is>
          <t>P</t>
        </is>
      </c>
      <c r="T8" s="36" t="inlineStr">
        <is>
          <t>P</t>
        </is>
      </c>
      <c r="U8" s="36" t="inlineStr">
        <is>
          <t>P</t>
        </is>
      </c>
      <c r="V8" s="36" t="inlineStr">
        <is>
          <t>P</t>
        </is>
      </c>
      <c r="W8" s="37" t="inlineStr">
        <is>
          <t>WO</t>
        </is>
      </c>
      <c r="X8" s="36" t="inlineStr">
        <is>
          <t>P</t>
        </is>
      </c>
      <c r="Y8" s="36" t="inlineStr">
        <is>
          <t>P</t>
        </is>
      </c>
      <c r="Z8" s="36" t="inlineStr">
        <is>
          <t>P</t>
        </is>
      </c>
      <c r="AA8" s="36" t="inlineStr">
        <is>
          <t>P</t>
        </is>
      </c>
      <c r="AB8" s="36" t="inlineStr">
        <is>
          <t>P</t>
        </is>
      </c>
      <c r="AC8" s="36" t="inlineStr">
        <is>
          <t>P</t>
        </is>
      </c>
      <c r="AD8" s="37" t="inlineStr">
        <is>
          <t>WO</t>
        </is>
      </c>
      <c r="AE8" s="38" t="inlineStr">
        <is>
          <t>-</t>
        </is>
      </c>
      <c r="AF8" s="38" t="inlineStr">
        <is>
          <t>-</t>
        </is>
      </c>
      <c r="AG8" s="39">
        <f>COUNTIF(B8:AF8, "P")</f>
        <v/>
      </c>
      <c r="AH8" s="15">
        <f>COUNTIF(B8:AF8, "CL")</f>
        <v/>
      </c>
      <c r="AI8" s="16">
        <f>COUNTIF(B8:AF8, "L")</f>
        <v/>
      </c>
      <c r="AJ8" s="17">
        <f>COUNTIF(B8:AF8, "WO")</f>
        <v/>
      </c>
      <c r="AK8" s="14">
        <f>COUNTIF(B8:AF8, "HO")</f>
        <v/>
      </c>
      <c r="AL8" s="18">
        <f>COUNTIF(B8:AF8, "CF")</f>
        <v/>
      </c>
      <c r="AM8" s="19">
        <f>AG8+AH8+AI8+AL8</f>
        <v/>
      </c>
      <c r="AN8" s="20">
        <f>IF(AM8&gt;0, AG8/AM8, 0)</f>
        <v/>
      </c>
    </row>
    <row r="9" ht="32" customHeight="1">
      <c r="A9" s="35" t="inlineStr">
        <is>
          <t>DR VARUN
Doctor</t>
        </is>
      </c>
      <c r="B9" s="38" t="inlineStr">
        <is>
          <t>-</t>
        </is>
      </c>
      <c r="C9" s="38" t="inlineStr">
        <is>
          <t>-</t>
        </is>
      </c>
      <c r="D9" s="38" t="inlineStr">
        <is>
          <t>-</t>
        </is>
      </c>
      <c r="E9" s="38" t="inlineStr">
        <is>
          <t>-</t>
        </is>
      </c>
      <c r="F9" s="38" t="inlineStr">
        <is>
          <t>-</t>
        </is>
      </c>
      <c r="G9" s="38" t="inlineStr">
        <is>
          <t>-</t>
        </is>
      </c>
      <c r="H9" s="38" t="inlineStr">
        <is>
          <t>-</t>
        </is>
      </c>
      <c r="I9" s="38" t="inlineStr">
        <is>
          <t>-</t>
        </is>
      </c>
      <c r="J9" s="38" t="inlineStr">
        <is>
          <t>-</t>
        </is>
      </c>
      <c r="K9" s="38" t="inlineStr">
        <is>
          <t>-</t>
        </is>
      </c>
      <c r="L9" s="38" t="inlineStr">
        <is>
          <t>-</t>
        </is>
      </c>
      <c r="M9" s="38" t="inlineStr">
        <is>
          <t>-</t>
        </is>
      </c>
      <c r="N9" s="38" t="inlineStr">
        <is>
          <t>-</t>
        </is>
      </c>
      <c r="O9" s="38" t="inlineStr">
        <is>
          <t>-</t>
        </is>
      </c>
      <c r="P9" s="38" t="inlineStr">
        <is>
          <t>-</t>
        </is>
      </c>
      <c r="Q9" s="38" t="inlineStr">
        <is>
          <t>-</t>
        </is>
      </c>
      <c r="R9" s="38" t="inlineStr">
        <is>
          <t>-</t>
        </is>
      </c>
      <c r="S9" s="38" t="inlineStr">
        <is>
          <t>-</t>
        </is>
      </c>
      <c r="T9" s="38" t="inlineStr">
        <is>
          <t>-</t>
        </is>
      </c>
      <c r="U9" s="38" t="inlineStr">
        <is>
          <t>-</t>
        </is>
      </c>
      <c r="V9" s="38" t="inlineStr">
        <is>
          <t>-</t>
        </is>
      </c>
      <c r="W9" s="38" t="inlineStr">
        <is>
          <t>-</t>
        </is>
      </c>
      <c r="X9" s="38" t="inlineStr">
        <is>
          <t>-</t>
        </is>
      </c>
      <c r="Y9" s="38" t="inlineStr">
        <is>
          <t>-</t>
        </is>
      </c>
      <c r="Z9" s="38" t="inlineStr">
        <is>
          <t>-</t>
        </is>
      </c>
      <c r="AA9" s="38" t="inlineStr">
        <is>
          <t>-</t>
        </is>
      </c>
      <c r="AB9" s="38" t="inlineStr">
        <is>
          <t>-</t>
        </is>
      </c>
      <c r="AC9" s="38" t="inlineStr">
        <is>
          <t>-</t>
        </is>
      </c>
      <c r="AD9" s="38" t="inlineStr">
        <is>
          <t>-</t>
        </is>
      </c>
      <c r="AE9" s="38" t="inlineStr">
        <is>
          <t>-</t>
        </is>
      </c>
      <c r="AF9" s="38" t="inlineStr">
        <is>
          <t>-</t>
        </is>
      </c>
      <c r="AG9" s="39">
        <f>COUNTIF(B9:AF9, "P")</f>
        <v/>
      </c>
      <c r="AH9" s="15">
        <f>COUNTIF(B9:AF9, "CL")</f>
        <v/>
      </c>
      <c r="AI9" s="16">
        <f>COUNTIF(B9:AF9, "L")</f>
        <v/>
      </c>
      <c r="AJ9" s="17">
        <f>COUNTIF(B9:AF9, "WO")</f>
        <v/>
      </c>
      <c r="AK9" s="14">
        <f>COUNTIF(B9:AF9, "HO")</f>
        <v/>
      </c>
      <c r="AL9" s="18">
        <f>COUNTIF(B9:AF9, "CF")</f>
        <v/>
      </c>
      <c r="AM9" s="19">
        <f>AG9+AH9+AI9+AL9</f>
        <v/>
      </c>
      <c r="AN9" s="20">
        <f>IF(AM9&gt;0, AG9/AM9, 0)</f>
        <v/>
      </c>
    </row>
    <row r="10" ht="32" customHeight="1">
      <c r="A10" s="40" t="inlineStr">
        <is>
          <t>CHANIKYA
Employee</t>
        </is>
      </c>
      <c r="B10" s="37" t="inlineStr">
        <is>
          <t>WO</t>
        </is>
      </c>
      <c r="C10" s="36" t="inlineStr">
        <is>
          <t>P</t>
        </is>
      </c>
      <c r="D10" s="36" t="inlineStr">
        <is>
          <t>P</t>
        </is>
      </c>
      <c r="E10" s="36" t="inlineStr">
        <is>
          <t>P</t>
        </is>
      </c>
      <c r="F10" s="36" t="inlineStr">
        <is>
          <t>P</t>
        </is>
      </c>
      <c r="G10" s="36" t="inlineStr">
        <is>
          <t>P</t>
        </is>
      </c>
      <c r="H10" s="36" t="inlineStr">
        <is>
          <t>P</t>
        </is>
      </c>
      <c r="I10" s="36" t="inlineStr">
        <is>
          <t>P</t>
        </is>
      </c>
      <c r="J10" s="36" t="inlineStr">
        <is>
          <t>P</t>
        </is>
      </c>
      <c r="K10" s="36" t="inlineStr">
        <is>
          <t>P</t>
        </is>
      </c>
      <c r="L10" s="36" t="inlineStr">
        <is>
          <t>P</t>
        </is>
      </c>
      <c r="M10" s="36" t="inlineStr">
        <is>
          <t>P</t>
        </is>
      </c>
      <c r="N10" s="36" t="inlineStr">
        <is>
          <t>P</t>
        </is>
      </c>
      <c r="O10" s="36" t="inlineStr">
        <is>
          <t>P</t>
        </is>
      </c>
      <c r="P10" s="37" t="inlineStr">
        <is>
          <t>WO</t>
        </is>
      </c>
      <c r="Q10" s="36" t="inlineStr">
        <is>
          <t>P</t>
        </is>
      </c>
      <c r="R10" s="36" t="inlineStr">
        <is>
          <t>P</t>
        </is>
      </c>
      <c r="S10" s="36" t="inlineStr">
        <is>
          <t>P</t>
        </is>
      </c>
      <c r="T10" s="36" t="inlineStr">
        <is>
          <t>P</t>
        </is>
      </c>
      <c r="U10" s="36" t="inlineStr">
        <is>
          <t>P</t>
        </is>
      </c>
      <c r="V10" s="36" t="inlineStr">
        <is>
          <t>P</t>
        </is>
      </c>
      <c r="W10" s="37" t="inlineStr">
        <is>
          <t>WO</t>
        </is>
      </c>
      <c r="X10" s="36" t="inlineStr">
        <is>
          <t>P</t>
        </is>
      </c>
      <c r="Y10" s="36" t="inlineStr">
        <is>
          <t>P</t>
        </is>
      </c>
      <c r="Z10" s="36" t="inlineStr">
        <is>
          <t>P</t>
        </is>
      </c>
      <c r="AA10" s="36" t="inlineStr">
        <is>
          <t>P</t>
        </is>
      </c>
      <c r="AB10" s="36" t="inlineStr">
        <is>
          <t>P</t>
        </is>
      </c>
      <c r="AC10" s="36" t="inlineStr">
        <is>
          <t>P</t>
        </is>
      </c>
      <c r="AD10" s="37" t="inlineStr">
        <is>
          <t>WO</t>
        </is>
      </c>
      <c r="AE10" s="38" t="inlineStr">
        <is>
          <t>-</t>
        </is>
      </c>
      <c r="AF10" s="38" t="inlineStr">
        <is>
          <t>-</t>
        </is>
      </c>
      <c r="AG10" s="39">
        <f>COUNTIF(B10:AF10, "P")</f>
        <v/>
      </c>
      <c r="AH10" s="15">
        <f>COUNTIF(B10:AF10, "CL")</f>
        <v/>
      </c>
      <c r="AI10" s="16">
        <f>COUNTIF(B10:AF10, "L")</f>
        <v/>
      </c>
      <c r="AJ10" s="17">
        <f>COUNTIF(B10:AF10, "WO")</f>
        <v/>
      </c>
      <c r="AK10" s="14">
        <f>COUNTIF(B10:AF10, "HO")</f>
        <v/>
      </c>
      <c r="AL10" s="18">
        <f>COUNTIF(B10:AF10, "CF")</f>
        <v/>
      </c>
      <c r="AM10" s="19">
        <f>AG10+AH10+AI10+AL10</f>
        <v/>
      </c>
      <c r="AN10" s="20">
        <f>IF(AM10&gt;0, AG10/AM10, 0)</f>
        <v/>
      </c>
    </row>
    <row r="11" ht="32" customHeight="1">
      <c r="A11" s="35" t="inlineStr">
        <is>
          <t>Ch Praveen Kumar
Employee</t>
        </is>
      </c>
      <c r="B11" s="37" t="inlineStr">
        <is>
          <t>WO</t>
        </is>
      </c>
      <c r="C11" s="36" t="inlineStr">
        <is>
          <t>P</t>
        </is>
      </c>
      <c r="D11" s="36" t="inlineStr">
        <is>
          <t>P</t>
        </is>
      </c>
      <c r="E11" s="36" t="inlineStr">
        <is>
          <t>P</t>
        </is>
      </c>
      <c r="F11" s="36" t="inlineStr">
        <is>
          <t>P</t>
        </is>
      </c>
      <c r="G11" s="36" t="inlineStr">
        <is>
          <t>P</t>
        </is>
      </c>
      <c r="H11" s="36" t="inlineStr">
        <is>
          <t>P</t>
        </is>
      </c>
      <c r="I11" s="37" t="inlineStr">
        <is>
          <t>WO</t>
        </is>
      </c>
      <c r="J11" s="36" t="inlineStr">
        <is>
          <t>P</t>
        </is>
      </c>
      <c r="K11" s="36" t="inlineStr">
        <is>
          <t>P</t>
        </is>
      </c>
      <c r="L11" s="36" t="inlineStr">
        <is>
          <t>P</t>
        </is>
      </c>
      <c r="M11" s="36" t="inlineStr">
        <is>
          <t>P</t>
        </is>
      </c>
      <c r="N11" s="36" t="inlineStr">
        <is>
          <t>P</t>
        </is>
      </c>
      <c r="O11" s="36" t="inlineStr">
        <is>
          <t>P</t>
        </is>
      </c>
      <c r="P11" s="37" t="inlineStr">
        <is>
          <t>WO</t>
        </is>
      </c>
      <c r="Q11" s="36" t="inlineStr">
        <is>
          <t>P</t>
        </is>
      </c>
      <c r="R11" s="36" t="inlineStr">
        <is>
          <t>P</t>
        </is>
      </c>
      <c r="S11" s="36" t="inlineStr">
        <is>
          <t>P</t>
        </is>
      </c>
      <c r="T11" s="36" t="inlineStr">
        <is>
          <t>P</t>
        </is>
      </c>
      <c r="U11" s="36" t="inlineStr">
        <is>
          <t>P</t>
        </is>
      </c>
      <c r="V11" s="36" t="inlineStr">
        <is>
          <t>P</t>
        </is>
      </c>
      <c r="W11" s="37" t="inlineStr">
        <is>
          <t>WO</t>
        </is>
      </c>
      <c r="X11" s="36" t="inlineStr">
        <is>
          <t>P</t>
        </is>
      </c>
      <c r="Y11" s="36" t="inlineStr">
        <is>
          <t>P</t>
        </is>
      </c>
      <c r="Z11" s="36" t="inlineStr">
        <is>
          <t>P</t>
        </is>
      </c>
      <c r="AA11" s="36" t="inlineStr">
        <is>
          <t>P</t>
        </is>
      </c>
      <c r="AB11" s="36" t="inlineStr">
        <is>
          <t>P</t>
        </is>
      </c>
      <c r="AC11" s="36" t="inlineStr">
        <is>
          <t>P</t>
        </is>
      </c>
      <c r="AD11" s="37" t="inlineStr">
        <is>
          <t>WO</t>
        </is>
      </c>
      <c r="AE11" s="38" t="inlineStr">
        <is>
          <t>-</t>
        </is>
      </c>
      <c r="AF11" s="38" t="inlineStr">
        <is>
          <t>-</t>
        </is>
      </c>
      <c r="AG11" s="39">
        <f>COUNTIF(B11:AF11, "P")</f>
        <v/>
      </c>
      <c r="AH11" s="15">
        <f>COUNTIF(B11:AF11, "CL")</f>
        <v/>
      </c>
      <c r="AI11" s="16">
        <f>COUNTIF(B11:AF11, "L")</f>
        <v/>
      </c>
      <c r="AJ11" s="17">
        <f>COUNTIF(B11:AF11, "WO")</f>
        <v/>
      </c>
      <c r="AK11" s="14">
        <f>COUNTIF(B11:AF11, "HO")</f>
        <v/>
      </c>
      <c r="AL11" s="18">
        <f>COUNTIF(B11:AF11, "CF")</f>
        <v/>
      </c>
      <c r="AM11" s="19">
        <f>AG11+AH11+AI11+AL11</f>
        <v/>
      </c>
      <c r="AN11" s="20">
        <f>IF(AM11&gt;0, AG11/AM11, 0)</f>
        <v/>
      </c>
    </row>
    <row r="12" ht="32" customHeight="1">
      <c r="A12" s="40" t="inlineStr">
        <is>
          <t>MANI
Employee</t>
        </is>
      </c>
      <c r="B12" s="37" t="inlineStr">
        <is>
          <t>WO</t>
        </is>
      </c>
      <c r="C12" s="36" t="inlineStr">
        <is>
          <t>P</t>
        </is>
      </c>
      <c r="D12" s="36" t="inlineStr">
        <is>
          <t>P</t>
        </is>
      </c>
      <c r="E12" s="36" t="inlineStr">
        <is>
          <t>P</t>
        </is>
      </c>
      <c r="F12" s="36" t="inlineStr">
        <is>
          <t>P</t>
        </is>
      </c>
      <c r="G12" s="36" t="inlineStr">
        <is>
          <t>P</t>
        </is>
      </c>
      <c r="H12" s="36" t="inlineStr">
        <is>
          <t>P</t>
        </is>
      </c>
      <c r="I12" s="37" t="inlineStr">
        <is>
          <t>WO</t>
        </is>
      </c>
      <c r="J12" s="36" t="inlineStr">
        <is>
          <t>P</t>
        </is>
      </c>
      <c r="K12" s="36" t="inlineStr">
        <is>
          <t>P</t>
        </is>
      </c>
      <c r="L12" s="36" t="inlineStr">
        <is>
          <t>P</t>
        </is>
      </c>
      <c r="M12" s="36" t="inlineStr">
        <is>
          <t>P</t>
        </is>
      </c>
      <c r="N12" s="36" t="inlineStr">
        <is>
          <t>P</t>
        </is>
      </c>
      <c r="O12" s="36" t="inlineStr">
        <is>
          <t>P</t>
        </is>
      </c>
      <c r="P12" s="37" t="inlineStr">
        <is>
          <t>WO</t>
        </is>
      </c>
      <c r="Q12" s="36" t="inlineStr">
        <is>
          <t>P</t>
        </is>
      </c>
      <c r="R12" s="36" t="inlineStr">
        <is>
          <t>P</t>
        </is>
      </c>
      <c r="S12" s="36" t="inlineStr">
        <is>
          <t>P</t>
        </is>
      </c>
      <c r="T12" s="36" t="inlineStr">
        <is>
          <t>P</t>
        </is>
      </c>
      <c r="U12" s="36" t="inlineStr">
        <is>
          <t>P</t>
        </is>
      </c>
      <c r="V12" s="36" t="inlineStr">
        <is>
          <t>P</t>
        </is>
      </c>
      <c r="W12" s="37" t="inlineStr">
        <is>
          <t>WO</t>
        </is>
      </c>
      <c r="X12" s="36" t="inlineStr">
        <is>
          <t>P</t>
        </is>
      </c>
      <c r="Y12" s="36" t="inlineStr">
        <is>
          <t>P</t>
        </is>
      </c>
      <c r="Z12" s="36" t="inlineStr">
        <is>
          <t>P</t>
        </is>
      </c>
      <c r="AA12" s="36" t="inlineStr">
        <is>
          <t>P</t>
        </is>
      </c>
      <c r="AB12" s="36" t="inlineStr">
        <is>
          <t>P</t>
        </is>
      </c>
      <c r="AC12" s="36" t="inlineStr">
        <is>
          <t>P</t>
        </is>
      </c>
      <c r="AD12" s="37" t="inlineStr">
        <is>
          <t>WO</t>
        </is>
      </c>
      <c r="AE12" s="38" t="inlineStr">
        <is>
          <t>-</t>
        </is>
      </c>
      <c r="AF12" s="38" t="inlineStr">
        <is>
          <t>-</t>
        </is>
      </c>
      <c r="AG12" s="39">
        <f>COUNTIF(B12:AF12, "P")</f>
        <v/>
      </c>
      <c r="AH12" s="15">
        <f>COUNTIF(B12:AF12, "CL")</f>
        <v/>
      </c>
      <c r="AI12" s="16">
        <f>COUNTIF(B12:AF12, "L")</f>
        <v/>
      </c>
      <c r="AJ12" s="17">
        <f>COUNTIF(B12:AF12, "WO")</f>
        <v/>
      </c>
      <c r="AK12" s="14">
        <f>COUNTIF(B12:AF12, "HO")</f>
        <v/>
      </c>
      <c r="AL12" s="18">
        <f>COUNTIF(B12:AF12, "CF")</f>
        <v/>
      </c>
      <c r="AM12" s="19">
        <f>AG12+AH12+AI12+AL12</f>
        <v/>
      </c>
      <c r="AN12" s="20">
        <f>IF(AM12&gt;0, AG12/AM12, 0)</f>
        <v/>
      </c>
    </row>
    <row r="13" ht="32" customHeight="1">
      <c r="A13" s="35" t="inlineStr">
        <is>
          <t>VANI
Employee</t>
        </is>
      </c>
      <c r="B13" s="37" t="inlineStr">
        <is>
          <t>WO</t>
        </is>
      </c>
      <c r="C13" s="36" t="inlineStr">
        <is>
          <t>P</t>
        </is>
      </c>
      <c r="D13" s="36" t="inlineStr">
        <is>
          <t>P</t>
        </is>
      </c>
      <c r="E13" s="36" t="inlineStr">
        <is>
          <t>P</t>
        </is>
      </c>
      <c r="F13" s="36" t="inlineStr">
        <is>
          <t>P</t>
        </is>
      </c>
      <c r="G13" s="36" t="inlineStr">
        <is>
          <t>P</t>
        </is>
      </c>
      <c r="H13" s="36" t="inlineStr">
        <is>
          <t>P</t>
        </is>
      </c>
      <c r="I13" s="37" t="inlineStr">
        <is>
          <t>WO</t>
        </is>
      </c>
      <c r="J13" s="36" t="inlineStr">
        <is>
          <t>P</t>
        </is>
      </c>
      <c r="K13" s="36" t="inlineStr">
        <is>
          <t>P</t>
        </is>
      </c>
      <c r="L13" s="36" t="inlineStr">
        <is>
          <t>P</t>
        </is>
      </c>
      <c r="M13" s="36" t="inlineStr">
        <is>
          <t>P</t>
        </is>
      </c>
      <c r="N13" s="36" t="inlineStr">
        <is>
          <t>P</t>
        </is>
      </c>
      <c r="O13" s="36" t="inlineStr">
        <is>
          <t>P</t>
        </is>
      </c>
      <c r="P13" s="37" t="inlineStr">
        <is>
          <t>WO</t>
        </is>
      </c>
      <c r="Q13" s="36" t="inlineStr">
        <is>
          <t>P</t>
        </is>
      </c>
      <c r="R13" s="36" t="inlineStr">
        <is>
          <t>P</t>
        </is>
      </c>
      <c r="S13" s="36" t="inlineStr">
        <is>
          <t>P</t>
        </is>
      </c>
      <c r="T13" s="36" t="inlineStr">
        <is>
          <t>P</t>
        </is>
      </c>
      <c r="U13" s="36" t="inlineStr">
        <is>
          <t>P</t>
        </is>
      </c>
      <c r="V13" s="36" t="inlineStr">
        <is>
          <t>P</t>
        </is>
      </c>
      <c r="W13" s="37" t="inlineStr">
        <is>
          <t>WO</t>
        </is>
      </c>
      <c r="X13" s="36" t="inlineStr">
        <is>
          <t>P</t>
        </is>
      </c>
      <c r="Y13" s="36" t="inlineStr">
        <is>
          <t>P</t>
        </is>
      </c>
      <c r="Z13" s="36" t="inlineStr">
        <is>
          <t>P</t>
        </is>
      </c>
      <c r="AA13" s="36" t="inlineStr">
        <is>
          <t>P</t>
        </is>
      </c>
      <c r="AB13" s="36" t="inlineStr">
        <is>
          <t>P</t>
        </is>
      </c>
      <c r="AC13" s="36" t="inlineStr">
        <is>
          <t>P</t>
        </is>
      </c>
      <c r="AD13" s="37" t="inlineStr">
        <is>
          <t>WO</t>
        </is>
      </c>
      <c r="AE13" s="38" t="inlineStr">
        <is>
          <t>-</t>
        </is>
      </c>
      <c r="AF13" s="38" t="inlineStr">
        <is>
          <t>-</t>
        </is>
      </c>
      <c r="AG13" s="39">
        <f>COUNTIF(B13:AF13, "P")</f>
        <v/>
      </c>
      <c r="AH13" s="15">
        <f>COUNTIF(B13:AF13, "CL")</f>
        <v/>
      </c>
      <c r="AI13" s="16">
        <f>COUNTIF(B13:AF13, "L")</f>
        <v/>
      </c>
      <c r="AJ13" s="17">
        <f>COUNTIF(B13:AF13, "WO")</f>
        <v/>
      </c>
      <c r="AK13" s="14">
        <f>COUNTIF(B13:AF13, "HO")</f>
        <v/>
      </c>
      <c r="AL13" s="18">
        <f>COUNTIF(B13:AF13, "CF")</f>
        <v/>
      </c>
      <c r="AM13" s="19">
        <f>AG13+AH13+AI13+AL13</f>
        <v/>
      </c>
      <c r="AN13" s="20">
        <f>IF(AM13&gt;0, AG13/AM13, 0)</f>
        <v/>
      </c>
    </row>
    <row r="14" ht="32" customHeight="1">
      <c r="A14" s="40" t="inlineStr">
        <is>
          <t>NEELIMA
Employee</t>
        </is>
      </c>
      <c r="B14" s="37" t="inlineStr">
        <is>
          <t>WO</t>
        </is>
      </c>
      <c r="C14" s="36" t="inlineStr">
        <is>
          <t>P</t>
        </is>
      </c>
      <c r="D14" s="36" t="inlineStr">
        <is>
          <t>P</t>
        </is>
      </c>
      <c r="E14" s="36" t="inlineStr">
        <is>
          <t>P</t>
        </is>
      </c>
      <c r="F14" s="36" t="inlineStr">
        <is>
          <t>P</t>
        </is>
      </c>
      <c r="G14" s="36" t="inlineStr">
        <is>
          <t>P</t>
        </is>
      </c>
      <c r="H14" s="36" t="inlineStr">
        <is>
          <t>P</t>
        </is>
      </c>
      <c r="I14" s="37" t="inlineStr">
        <is>
          <t>WO</t>
        </is>
      </c>
      <c r="J14" s="36" t="inlineStr">
        <is>
          <t>P</t>
        </is>
      </c>
      <c r="K14" s="36" t="inlineStr">
        <is>
          <t>P</t>
        </is>
      </c>
      <c r="L14" s="36" t="inlineStr">
        <is>
          <t>P</t>
        </is>
      </c>
      <c r="M14" s="36" t="inlineStr">
        <is>
          <t>P</t>
        </is>
      </c>
      <c r="N14" s="36" t="inlineStr">
        <is>
          <t>P</t>
        </is>
      </c>
      <c r="O14" s="36" t="inlineStr">
        <is>
          <t>P</t>
        </is>
      </c>
      <c r="P14" s="37" t="inlineStr">
        <is>
          <t>WO</t>
        </is>
      </c>
      <c r="Q14" s="36" t="inlineStr">
        <is>
          <t>P</t>
        </is>
      </c>
      <c r="R14" s="36" t="inlineStr">
        <is>
          <t>P</t>
        </is>
      </c>
      <c r="S14" s="36" t="inlineStr">
        <is>
          <t>P</t>
        </is>
      </c>
      <c r="T14" s="38" t="inlineStr">
        <is>
          <t>-</t>
        </is>
      </c>
      <c r="U14" s="36" t="inlineStr">
        <is>
          <t>P</t>
        </is>
      </c>
      <c r="V14" s="36" t="inlineStr">
        <is>
          <t>P</t>
        </is>
      </c>
      <c r="W14" s="37" t="inlineStr">
        <is>
          <t>WO</t>
        </is>
      </c>
      <c r="X14" s="36" t="inlineStr">
        <is>
          <t>P</t>
        </is>
      </c>
      <c r="Y14" s="36" t="inlineStr">
        <is>
          <t>P</t>
        </is>
      </c>
      <c r="Z14" s="36" t="inlineStr">
        <is>
          <t>P</t>
        </is>
      </c>
      <c r="AA14" s="36" t="inlineStr">
        <is>
          <t>P</t>
        </is>
      </c>
      <c r="AB14" s="36" t="inlineStr">
        <is>
          <t>P</t>
        </is>
      </c>
      <c r="AC14" s="36" t="inlineStr">
        <is>
          <t>P</t>
        </is>
      </c>
      <c r="AD14" s="37" t="inlineStr">
        <is>
          <t>WO</t>
        </is>
      </c>
      <c r="AE14" s="38" t="inlineStr">
        <is>
          <t>-</t>
        </is>
      </c>
      <c r="AF14" s="38" t="inlineStr">
        <is>
          <t>-</t>
        </is>
      </c>
      <c r="AG14" s="39">
        <f>COUNTIF(B14:AF14, "P")</f>
        <v/>
      </c>
      <c r="AH14" s="15">
        <f>COUNTIF(B14:AF14, "CL")</f>
        <v/>
      </c>
      <c r="AI14" s="16">
        <f>COUNTIF(B14:AF14, "L")</f>
        <v/>
      </c>
      <c r="AJ14" s="17">
        <f>COUNTIF(B14:AF14, "WO")</f>
        <v/>
      </c>
      <c r="AK14" s="14">
        <f>COUNTIF(B14:AF14, "HO")</f>
        <v/>
      </c>
      <c r="AL14" s="18">
        <f>COUNTIF(B14:AF14, "CF")</f>
        <v/>
      </c>
      <c r="AM14" s="19">
        <f>AG14+AH14+AI14+AL14</f>
        <v/>
      </c>
      <c r="AN14" s="20">
        <f>IF(AM14&gt;0, AG14/AM14, 0)</f>
        <v/>
      </c>
    </row>
    <row r="15" ht="32" customHeight="1">
      <c r="A15" s="35" t="inlineStr">
        <is>
          <t>RAMESH
Employee</t>
        </is>
      </c>
      <c r="B15" s="37" t="inlineStr">
        <is>
          <t>WO</t>
        </is>
      </c>
      <c r="C15" s="36" t="inlineStr">
        <is>
          <t>P</t>
        </is>
      </c>
      <c r="D15" s="36" t="inlineStr">
        <is>
          <t>P</t>
        </is>
      </c>
      <c r="E15" s="36" t="inlineStr">
        <is>
          <t>P</t>
        </is>
      </c>
      <c r="F15" s="36" t="inlineStr">
        <is>
          <t>P</t>
        </is>
      </c>
      <c r="G15" s="36" t="inlineStr">
        <is>
          <t>P</t>
        </is>
      </c>
      <c r="H15" s="36" t="inlineStr">
        <is>
          <t>P</t>
        </is>
      </c>
      <c r="I15" s="37" t="inlineStr">
        <is>
          <t>WO</t>
        </is>
      </c>
      <c r="J15" s="36" t="inlineStr">
        <is>
          <t>P</t>
        </is>
      </c>
      <c r="K15" s="36" t="inlineStr">
        <is>
          <t>P</t>
        </is>
      </c>
      <c r="L15" s="36" t="inlineStr">
        <is>
          <t>P</t>
        </is>
      </c>
      <c r="M15" s="36" t="inlineStr">
        <is>
          <t>P</t>
        </is>
      </c>
      <c r="N15" s="36" t="inlineStr">
        <is>
          <t>P</t>
        </is>
      </c>
      <c r="O15" s="36" t="inlineStr">
        <is>
          <t>P</t>
        </is>
      </c>
      <c r="P15" s="37" t="inlineStr">
        <is>
          <t>WO</t>
        </is>
      </c>
      <c r="Q15" s="36" t="inlineStr">
        <is>
          <t>P</t>
        </is>
      </c>
      <c r="R15" s="36" t="inlineStr">
        <is>
          <t>P</t>
        </is>
      </c>
      <c r="S15" s="36" t="inlineStr">
        <is>
          <t>P</t>
        </is>
      </c>
      <c r="T15" s="38" t="inlineStr">
        <is>
          <t>-</t>
        </is>
      </c>
      <c r="U15" s="36" t="inlineStr">
        <is>
          <t>P</t>
        </is>
      </c>
      <c r="V15" s="36" t="inlineStr">
        <is>
          <t>P</t>
        </is>
      </c>
      <c r="W15" s="37" t="inlineStr">
        <is>
          <t>WO</t>
        </is>
      </c>
      <c r="X15" s="36" t="inlineStr">
        <is>
          <t>P</t>
        </is>
      </c>
      <c r="Y15" s="36" t="inlineStr">
        <is>
          <t>P</t>
        </is>
      </c>
      <c r="Z15" s="36" t="inlineStr">
        <is>
          <t>P</t>
        </is>
      </c>
      <c r="AA15" s="36" t="inlineStr">
        <is>
          <t>P</t>
        </is>
      </c>
      <c r="AB15" s="36" t="inlineStr">
        <is>
          <t>P</t>
        </is>
      </c>
      <c r="AC15" s="36" t="inlineStr">
        <is>
          <t>P</t>
        </is>
      </c>
      <c r="AD15" s="37" t="inlineStr">
        <is>
          <t>WO</t>
        </is>
      </c>
      <c r="AE15" s="38" t="inlineStr">
        <is>
          <t>-</t>
        </is>
      </c>
      <c r="AF15" s="38" t="inlineStr">
        <is>
          <t>-</t>
        </is>
      </c>
      <c r="AG15" s="39">
        <f>COUNTIF(B15:AF15, "P")</f>
        <v/>
      </c>
      <c r="AH15" s="15">
        <f>COUNTIF(B15:AF15, "CL")</f>
        <v/>
      </c>
      <c r="AI15" s="16">
        <f>COUNTIF(B15:AF15, "L")</f>
        <v/>
      </c>
      <c r="AJ15" s="17">
        <f>COUNTIF(B15:AF15, "WO")</f>
        <v/>
      </c>
      <c r="AK15" s="14">
        <f>COUNTIF(B15:AF15, "HO")</f>
        <v/>
      </c>
      <c r="AL15" s="18">
        <f>COUNTIF(B15:AF15, "CF")</f>
        <v/>
      </c>
      <c r="AM15" s="19">
        <f>AG15+AH15+AI15+AL15</f>
        <v/>
      </c>
      <c r="AN15" s="20">
        <f>IF(AM15&gt;0, AG15/AM15, 0)</f>
        <v/>
      </c>
    </row>
    <row r="16" ht="32" customHeight="1">
      <c r="A16" s="40" t="inlineStr">
        <is>
          <t>SIRISHA
Employee</t>
        </is>
      </c>
      <c r="B16" s="37" t="inlineStr">
        <is>
          <t>WO</t>
        </is>
      </c>
      <c r="C16" s="36" t="inlineStr">
        <is>
          <t>P</t>
        </is>
      </c>
      <c r="D16" s="36" t="inlineStr">
        <is>
          <t>P</t>
        </is>
      </c>
      <c r="E16" s="36" t="inlineStr">
        <is>
          <t>P</t>
        </is>
      </c>
      <c r="F16" s="36" t="inlineStr">
        <is>
          <t>P</t>
        </is>
      </c>
      <c r="G16" s="41" t="inlineStr">
        <is>
          <t>CL</t>
        </is>
      </c>
      <c r="H16" s="36" t="inlineStr">
        <is>
          <t>P</t>
        </is>
      </c>
      <c r="I16" s="37" t="inlineStr">
        <is>
          <t>WO</t>
        </is>
      </c>
      <c r="J16" s="36" t="inlineStr">
        <is>
          <t>P</t>
        </is>
      </c>
      <c r="K16" s="36" t="inlineStr">
        <is>
          <t>P</t>
        </is>
      </c>
      <c r="L16" s="36" t="inlineStr">
        <is>
          <t>P</t>
        </is>
      </c>
      <c r="M16" s="36" t="inlineStr">
        <is>
          <t>P</t>
        </is>
      </c>
      <c r="N16" s="36" t="inlineStr">
        <is>
          <t>P</t>
        </is>
      </c>
      <c r="O16" s="36" t="inlineStr">
        <is>
          <t>P</t>
        </is>
      </c>
      <c r="P16" s="37" t="inlineStr">
        <is>
          <t>WO</t>
        </is>
      </c>
      <c r="Q16" s="36" t="inlineStr">
        <is>
          <t>P</t>
        </is>
      </c>
      <c r="R16" s="36" t="inlineStr">
        <is>
          <t>P</t>
        </is>
      </c>
      <c r="S16" s="36" t="inlineStr">
        <is>
          <t>P</t>
        </is>
      </c>
      <c r="T16" s="38" t="inlineStr">
        <is>
          <t>-</t>
        </is>
      </c>
      <c r="U16" s="36" t="inlineStr">
        <is>
          <t>P</t>
        </is>
      </c>
      <c r="V16" s="36" t="inlineStr">
        <is>
          <t>P</t>
        </is>
      </c>
      <c r="W16" s="37" t="inlineStr">
        <is>
          <t>WO</t>
        </is>
      </c>
      <c r="X16" s="36" t="inlineStr">
        <is>
          <t>P</t>
        </is>
      </c>
      <c r="Y16" s="36" t="inlineStr">
        <is>
          <t>P</t>
        </is>
      </c>
      <c r="Z16" s="36" t="inlineStr">
        <is>
          <t>P</t>
        </is>
      </c>
      <c r="AA16" s="36" t="inlineStr">
        <is>
          <t>P</t>
        </is>
      </c>
      <c r="AB16" s="36" t="inlineStr">
        <is>
          <t>P</t>
        </is>
      </c>
      <c r="AC16" s="36" t="inlineStr">
        <is>
          <t>P</t>
        </is>
      </c>
      <c r="AD16" s="37" t="inlineStr">
        <is>
          <t>WO</t>
        </is>
      </c>
      <c r="AE16" s="38" t="inlineStr">
        <is>
          <t>-</t>
        </is>
      </c>
      <c r="AF16" s="38" t="inlineStr">
        <is>
          <t>-</t>
        </is>
      </c>
      <c r="AG16" s="39">
        <f>COUNTIF(B16:AF16, "P")</f>
        <v/>
      </c>
      <c r="AH16" s="15">
        <f>COUNTIF(B16:AF16, "CL")</f>
        <v/>
      </c>
      <c r="AI16" s="16">
        <f>COUNTIF(B16:AF16, "L")</f>
        <v/>
      </c>
      <c r="AJ16" s="17">
        <f>COUNTIF(B16:AF16, "WO")</f>
        <v/>
      </c>
      <c r="AK16" s="14">
        <f>COUNTIF(B16:AF16, "HO")</f>
        <v/>
      </c>
      <c r="AL16" s="18">
        <f>COUNTIF(B16:AF16, "CF")</f>
        <v/>
      </c>
      <c r="AM16" s="19">
        <f>AG16+AH16+AI16+AL16</f>
        <v/>
      </c>
      <c r="AN16" s="20">
        <f>IF(AM16&gt;0, AG16/AM16, 0)</f>
        <v/>
      </c>
    </row>
    <row r="17" ht="32" customHeight="1">
      <c r="A17" s="35" t="inlineStr">
        <is>
          <t>VAIDEHI
Employee</t>
        </is>
      </c>
      <c r="B17" s="38" t="inlineStr">
        <is>
          <t>-</t>
        </is>
      </c>
      <c r="C17" s="38" t="inlineStr">
        <is>
          <t>-</t>
        </is>
      </c>
      <c r="D17" s="38" t="inlineStr">
        <is>
          <t>-</t>
        </is>
      </c>
      <c r="E17" s="38" t="inlineStr">
        <is>
          <t>-</t>
        </is>
      </c>
      <c r="F17" s="38" t="inlineStr">
        <is>
          <t>-</t>
        </is>
      </c>
      <c r="G17" s="38" t="inlineStr">
        <is>
          <t>-</t>
        </is>
      </c>
      <c r="H17" s="38" t="inlineStr">
        <is>
          <t>-</t>
        </is>
      </c>
      <c r="I17" s="37" t="inlineStr">
        <is>
          <t>WO</t>
        </is>
      </c>
      <c r="J17" s="36" t="inlineStr">
        <is>
          <t>P</t>
        </is>
      </c>
      <c r="K17" s="36" t="inlineStr">
        <is>
          <t>P</t>
        </is>
      </c>
      <c r="L17" s="36" t="inlineStr">
        <is>
          <t>P</t>
        </is>
      </c>
      <c r="M17" s="36" t="inlineStr">
        <is>
          <t>P</t>
        </is>
      </c>
      <c r="N17" s="36" t="inlineStr">
        <is>
          <t>P</t>
        </is>
      </c>
      <c r="O17" s="36" t="inlineStr">
        <is>
          <t>P</t>
        </is>
      </c>
      <c r="P17" s="37" t="inlineStr">
        <is>
          <t>WO</t>
        </is>
      </c>
      <c r="Q17" s="36" t="inlineStr">
        <is>
          <t>P</t>
        </is>
      </c>
      <c r="R17" s="36" t="inlineStr">
        <is>
          <t>P</t>
        </is>
      </c>
      <c r="S17" s="36" t="inlineStr">
        <is>
          <t>P</t>
        </is>
      </c>
      <c r="T17" s="38" t="inlineStr">
        <is>
          <t>-</t>
        </is>
      </c>
      <c r="U17" s="36" t="inlineStr">
        <is>
          <t>P</t>
        </is>
      </c>
      <c r="V17" s="41" t="inlineStr">
        <is>
          <t>CL</t>
        </is>
      </c>
      <c r="W17" s="37" t="inlineStr">
        <is>
          <t>WO</t>
        </is>
      </c>
      <c r="X17" s="36" t="inlineStr">
        <is>
          <t>P</t>
        </is>
      </c>
      <c r="Y17" s="36" t="inlineStr">
        <is>
          <t>P</t>
        </is>
      </c>
      <c r="Z17" s="36" t="inlineStr">
        <is>
          <t>P</t>
        </is>
      </c>
      <c r="AA17" s="36" t="inlineStr">
        <is>
          <t>P</t>
        </is>
      </c>
      <c r="AB17" s="36" t="inlineStr">
        <is>
          <t>P</t>
        </is>
      </c>
      <c r="AC17" s="36" t="inlineStr">
        <is>
          <t>P</t>
        </is>
      </c>
      <c r="AD17" s="38" t="inlineStr">
        <is>
          <t>-</t>
        </is>
      </c>
      <c r="AE17" s="38" t="inlineStr">
        <is>
          <t>-</t>
        </is>
      </c>
      <c r="AF17" s="38" t="inlineStr">
        <is>
          <t>-</t>
        </is>
      </c>
      <c r="AG17" s="39">
        <f>COUNTIF(B17:AF17, "P")</f>
        <v/>
      </c>
      <c r="AH17" s="15">
        <f>COUNTIF(B17:AF17, "CL")</f>
        <v/>
      </c>
      <c r="AI17" s="16">
        <f>COUNTIF(B17:AF17, "L")</f>
        <v/>
      </c>
      <c r="AJ17" s="17">
        <f>COUNTIF(B17:AF17, "WO")</f>
        <v/>
      </c>
      <c r="AK17" s="14">
        <f>COUNTIF(B17:AF17, "HO")</f>
        <v/>
      </c>
      <c r="AL17" s="18">
        <f>COUNTIF(B17:AF17, "CF")</f>
        <v/>
      </c>
      <c r="AM17" s="19">
        <f>AG17+AH17+AI17+AL17</f>
        <v/>
      </c>
      <c r="AN17" s="20">
        <f>IF(AM17&gt;0, AG17/AM17, 0)</f>
        <v/>
      </c>
    </row>
    <row r="18" ht="32" customHeight="1">
      <c r="A18" s="40" t="inlineStr">
        <is>
          <t>PHANI
Employee</t>
        </is>
      </c>
      <c r="B18" s="36" t="inlineStr">
        <is>
          <t>P</t>
        </is>
      </c>
      <c r="C18" s="36" t="inlineStr">
        <is>
          <t>P</t>
        </is>
      </c>
      <c r="D18" s="36" t="inlineStr">
        <is>
          <t>P</t>
        </is>
      </c>
      <c r="E18" s="36" t="inlineStr">
        <is>
          <t>P</t>
        </is>
      </c>
      <c r="F18" s="36" t="inlineStr">
        <is>
          <t>P</t>
        </is>
      </c>
      <c r="G18" s="36" t="inlineStr">
        <is>
          <t>P</t>
        </is>
      </c>
      <c r="H18" s="36" t="inlineStr">
        <is>
          <t>P</t>
        </is>
      </c>
      <c r="I18" s="36" t="inlineStr">
        <is>
          <t>P</t>
        </is>
      </c>
      <c r="J18" s="36" t="inlineStr">
        <is>
          <t>P</t>
        </is>
      </c>
      <c r="K18" s="36" t="inlineStr">
        <is>
          <t>P</t>
        </is>
      </c>
      <c r="L18" s="36" t="inlineStr">
        <is>
          <t>P</t>
        </is>
      </c>
      <c r="M18" s="36" t="inlineStr">
        <is>
          <t>P</t>
        </is>
      </c>
      <c r="N18" s="36" t="inlineStr">
        <is>
          <t>P</t>
        </is>
      </c>
      <c r="O18" s="36" t="inlineStr">
        <is>
          <t>P</t>
        </is>
      </c>
      <c r="P18" s="41" t="inlineStr">
        <is>
          <t>CL</t>
        </is>
      </c>
      <c r="Q18" s="42" t="inlineStr">
        <is>
          <t>L</t>
        </is>
      </c>
      <c r="R18" s="36" t="inlineStr">
        <is>
          <t>P</t>
        </is>
      </c>
      <c r="S18" s="37" t="inlineStr">
        <is>
          <t>WO</t>
        </is>
      </c>
      <c r="T18" s="38" t="inlineStr">
        <is>
          <t>-</t>
        </is>
      </c>
      <c r="U18" s="36" t="inlineStr">
        <is>
          <t>P</t>
        </is>
      </c>
      <c r="V18" s="36" t="inlineStr">
        <is>
          <t>P</t>
        </is>
      </c>
      <c r="W18" s="36" t="inlineStr">
        <is>
          <t>P</t>
        </is>
      </c>
      <c r="X18" s="36" t="inlineStr">
        <is>
          <t>P</t>
        </is>
      </c>
      <c r="Y18" s="36" t="inlineStr">
        <is>
          <t>P</t>
        </is>
      </c>
      <c r="Z18" s="36" t="inlineStr">
        <is>
          <t>P</t>
        </is>
      </c>
      <c r="AA18" s="36" t="inlineStr">
        <is>
          <t>P</t>
        </is>
      </c>
      <c r="AB18" s="36" t="inlineStr">
        <is>
          <t>P</t>
        </is>
      </c>
      <c r="AC18" s="36" t="inlineStr">
        <is>
          <t>P</t>
        </is>
      </c>
      <c r="AD18" s="38" t="inlineStr">
        <is>
          <t>-</t>
        </is>
      </c>
      <c r="AE18" s="38" t="inlineStr">
        <is>
          <t>-</t>
        </is>
      </c>
      <c r="AF18" s="38" t="inlineStr">
        <is>
          <t>-</t>
        </is>
      </c>
      <c r="AG18" s="39">
        <f>COUNTIF(B18:AF18, "P")</f>
        <v/>
      </c>
      <c r="AH18" s="15">
        <f>COUNTIF(B18:AF18, "CL")</f>
        <v/>
      </c>
      <c r="AI18" s="16">
        <f>COUNTIF(B18:AF18, "L")</f>
        <v/>
      </c>
      <c r="AJ18" s="17">
        <f>COUNTIF(B18:AF18, "WO")</f>
        <v/>
      </c>
      <c r="AK18" s="14">
        <f>COUNTIF(B18:AF18, "HO")</f>
        <v/>
      </c>
      <c r="AL18" s="18">
        <f>COUNTIF(B18:AF18, "CF")</f>
        <v/>
      </c>
      <c r="AM18" s="19">
        <f>AG18+AH18+AI18+AL18</f>
        <v/>
      </c>
      <c r="AN18" s="20">
        <f>IF(AM18&gt;0, AG18/AM18, 0)</f>
        <v/>
      </c>
    </row>
    <row r="19" ht="32" customHeight="1">
      <c r="A19" s="35" t="inlineStr">
        <is>
          <t>LAXMINARAYANA
Employee</t>
        </is>
      </c>
      <c r="B19" s="37" t="inlineStr">
        <is>
          <t>WO</t>
        </is>
      </c>
      <c r="C19" s="36" t="inlineStr">
        <is>
          <t>P</t>
        </is>
      </c>
      <c r="D19" s="36" t="inlineStr">
        <is>
          <t>P</t>
        </is>
      </c>
      <c r="E19" s="36" t="inlineStr">
        <is>
          <t>P</t>
        </is>
      </c>
      <c r="F19" s="36" t="inlineStr">
        <is>
          <t>P</t>
        </is>
      </c>
      <c r="G19" s="36" t="inlineStr">
        <is>
          <t>P</t>
        </is>
      </c>
      <c r="H19" s="36" t="inlineStr">
        <is>
          <t>P</t>
        </is>
      </c>
      <c r="I19" s="37" t="inlineStr">
        <is>
          <t>WO</t>
        </is>
      </c>
      <c r="J19" s="36" t="inlineStr">
        <is>
          <t>P</t>
        </is>
      </c>
      <c r="K19" s="36" t="inlineStr">
        <is>
          <t>P</t>
        </is>
      </c>
      <c r="L19" s="36" t="inlineStr">
        <is>
          <t>P</t>
        </is>
      </c>
      <c r="M19" s="36" t="inlineStr">
        <is>
          <t>P</t>
        </is>
      </c>
      <c r="N19" s="36" t="inlineStr">
        <is>
          <t>P</t>
        </is>
      </c>
      <c r="O19" s="36" t="inlineStr">
        <is>
          <t>P</t>
        </is>
      </c>
      <c r="P19" s="37" t="inlineStr">
        <is>
          <t>WO</t>
        </is>
      </c>
      <c r="Q19" s="36" t="inlineStr">
        <is>
          <t>P</t>
        </is>
      </c>
      <c r="R19" s="36" t="inlineStr">
        <is>
          <t>P</t>
        </is>
      </c>
      <c r="S19" s="36" t="inlineStr">
        <is>
          <t>P</t>
        </is>
      </c>
      <c r="T19" s="38" t="inlineStr">
        <is>
          <t>-</t>
        </is>
      </c>
      <c r="U19" s="41" t="inlineStr">
        <is>
          <t>CL</t>
        </is>
      </c>
      <c r="V19" s="43" t="inlineStr">
        <is>
          <t>CF</t>
        </is>
      </c>
      <c r="W19" s="37" t="inlineStr">
        <is>
          <t>WO</t>
        </is>
      </c>
      <c r="X19" s="36" t="inlineStr">
        <is>
          <t>P</t>
        </is>
      </c>
      <c r="Y19" s="36" t="inlineStr">
        <is>
          <t>P</t>
        </is>
      </c>
      <c r="Z19" s="36" t="inlineStr">
        <is>
          <t>P</t>
        </is>
      </c>
      <c r="AA19" s="36" t="inlineStr">
        <is>
          <t>P</t>
        </is>
      </c>
      <c r="AB19" s="36" t="inlineStr">
        <is>
          <t>P</t>
        </is>
      </c>
      <c r="AC19" s="36" t="inlineStr">
        <is>
          <t>P</t>
        </is>
      </c>
      <c r="AD19" s="37" t="inlineStr">
        <is>
          <t>WO</t>
        </is>
      </c>
      <c r="AE19" s="38" t="inlineStr">
        <is>
          <t>-</t>
        </is>
      </c>
      <c r="AF19" s="38" t="inlineStr">
        <is>
          <t>-</t>
        </is>
      </c>
      <c r="AG19" s="39">
        <f>COUNTIF(B19:AF19, "P")</f>
        <v/>
      </c>
      <c r="AH19" s="15">
        <f>COUNTIF(B19:AF19, "CL")</f>
        <v/>
      </c>
      <c r="AI19" s="16">
        <f>COUNTIF(B19:AF19, "L")</f>
        <v/>
      </c>
      <c r="AJ19" s="17">
        <f>COUNTIF(B19:AF19, "WO")</f>
        <v/>
      </c>
      <c r="AK19" s="14">
        <f>COUNTIF(B19:AF19, "HO")</f>
        <v/>
      </c>
      <c r="AL19" s="18">
        <f>COUNTIF(B19:AF19, "CF")</f>
        <v/>
      </c>
      <c r="AM19" s="19">
        <f>AG19+AH19+AI19+AL19</f>
        <v/>
      </c>
      <c r="AN19" s="20">
        <f>IF(AM19&gt;0, AG19/AM19, 0)</f>
        <v/>
      </c>
    </row>
    <row r="20" ht="32" customHeight="1">
      <c r="A20" s="40" t="inlineStr">
        <is>
          <t>KAVITHA
Employee</t>
        </is>
      </c>
      <c r="B20" s="37" t="inlineStr">
        <is>
          <t>WO</t>
        </is>
      </c>
      <c r="C20" s="41" t="inlineStr">
        <is>
          <t>CL</t>
        </is>
      </c>
      <c r="D20" s="42" t="inlineStr">
        <is>
          <t>L</t>
        </is>
      </c>
      <c r="E20" s="36" t="inlineStr">
        <is>
          <t>P</t>
        </is>
      </c>
      <c r="F20" s="42" t="inlineStr">
        <is>
          <t>L</t>
        </is>
      </c>
      <c r="G20" s="36" t="inlineStr">
        <is>
          <t>P</t>
        </is>
      </c>
      <c r="H20" s="36" t="inlineStr">
        <is>
          <t>P</t>
        </is>
      </c>
      <c r="I20" s="37" t="inlineStr">
        <is>
          <t>WO</t>
        </is>
      </c>
      <c r="J20" s="36" t="inlineStr">
        <is>
          <t>P</t>
        </is>
      </c>
      <c r="K20" s="36" t="inlineStr">
        <is>
          <t>P</t>
        </is>
      </c>
      <c r="L20" s="36" t="inlineStr">
        <is>
          <t>P</t>
        </is>
      </c>
      <c r="M20" s="36" t="inlineStr">
        <is>
          <t>P</t>
        </is>
      </c>
      <c r="N20" s="36" t="inlineStr">
        <is>
          <t>P</t>
        </is>
      </c>
      <c r="O20" s="36" t="inlineStr">
        <is>
          <t>P</t>
        </is>
      </c>
      <c r="P20" s="37" t="inlineStr">
        <is>
          <t>WO</t>
        </is>
      </c>
      <c r="Q20" s="36" t="inlineStr">
        <is>
          <t>P</t>
        </is>
      </c>
      <c r="R20" s="36" t="inlineStr">
        <is>
          <t>P</t>
        </is>
      </c>
      <c r="S20" s="36" t="inlineStr">
        <is>
          <t>P</t>
        </is>
      </c>
      <c r="T20" s="38" t="inlineStr">
        <is>
          <t>-</t>
        </is>
      </c>
      <c r="U20" s="36" t="inlineStr">
        <is>
          <t>P</t>
        </is>
      </c>
      <c r="V20" s="36" t="inlineStr">
        <is>
          <t>P</t>
        </is>
      </c>
      <c r="W20" s="37" t="inlineStr">
        <is>
          <t>WO</t>
        </is>
      </c>
      <c r="X20" s="36" t="inlineStr">
        <is>
          <t>P</t>
        </is>
      </c>
      <c r="Y20" s="36" t="inlineStr">
        <is>
          <t>P</t>
        </is>
      </c>
      <c r="Z20" s="36" t="inlineStr">
        <is>
          <t>P</t>
        </is>
      </c>
      <c r="AA20" s="36" t="inlineStr">
        <is>
          <t>P</t>
        </is>
      </c>
      <c r="AB20" s="36" t="inlineStr">
        <is>
          <t>P</t>
        </is>
      </c>
      <c r="AC20" s="36" t="inlineStr">
        <is>
          <t>P</t>
        </is>
      </c>
      <c r="AD20" s="37" t="inlineStr">
        <is>
          <t>WO</t>
        </is>
      </c>
      <c r="AE20" s="38" t="inlineStr">
        <is>
          <t>-</t>
        </is>
      </c>
      <c r="AF20" s="38" t="inlineStr">
        <is>
          <t>-</t>
        </is>
      </c>
      <c r="AG20" s="39">
        <f>COUNTIF(B20:AF20, "P")</f>
        <v/>
      </c>
      <c r="AH20" s="15">
        <f>COUNTIF(B20:AF20, "CL")</f>
        <v/>
      </c>
      <c r="AI20" s="16">
        <f>COUNTIF(B20:AF20, "L")</f>
        <v/>
      </c>
      <c r="AJ20" s="17">
        <f>COUNTIF(B20:AF20, "WO")</f>
        <v/>
      </c>
      <c r="AK20" s="14">
        <f>COUNTIF(B20:AF20, "HO")</f>
        <v/>
      </c>
      <c r="AL20" s="18">
        <f>COUNTIF(B20:AF20, "CF")</f>
        <v/>
      </c>
      <c r="AM20" s="19">
        <f>AG20+AH20+AI20+AL20</f>
        <v/>
      </c>
      <c r="AN20" s="20">
        <f>IF(AM20&gt;0, AG20/AM20, 0)</f>
        <v/>
      </c>
    </row>
    <row r="21" ht="32" customHeight="1">
      <c r="A21" s="35" t="inlineStr">
        <is>
          <t>SAI CHARAN
Employee</t>
        </is>
      </c>
      <c r="B21" s="37" t="inlineStr">
        <is>
          <t>WO</t>
        </is>
      </c>
      <c r="C21" s="36" t="inlineStr">
        <is>
          <t>P</t>
        </is>
      </c>
      <c r="D21" s="36" t="inlineStr">
        <is>
          <t>P</t>
        </is>
      </c>
      <c r="E21" s="41" t="inlineStr">
        <is>
          <t>CL</t>
        </is>
      </c>
      <c r="F21" s="36" t="inlineStr">
        <is>
          <t>P</t>
        </is>
      </c>
      <c r="G21" s="36" t="inlineStr">
        <is>
          <t>P</t>
        </is>
      </c>
      <c r="H21" s="36" t="inlineStr">
        <is>
          <t>P</t>
        </is>
      </c>
      <c r="I21" s="37" t="inlineStr">
        <is>
          <t>WO</t>
        </is>
      </c>
      <c r="J21" s="36" t="inlineStr">
        <is>
          <t>P</t>
        </is>
      </c>
      <c r="K21" s="36" t="inlineStr">
        <is>
          <t>P</t>
        </is>
      </c>
      <c r="L21" s="36" t="inlineStr">
        <is>
          <t>P</t>
        </is>
      </c>
      <c r="M21" s="36" t="inlineStr">
        <is>
          <t>P</t>
        </is>
      </c>
      <c r="N21" s="36" t="inlineStr">
        <is>
          <t>P</t>
        </is>
      </c>
      <c r="O21" s="36" t="inlineStr">
        <is>
          <t>P</t>
        </is>
      </c>
      <c r="P21" s="37" t="inlineStr">
        <is>
          <t>WO</t>
        </is>
      </c>
      <c r="Q21" s="36" t="inlineStr">
        <is>
          <t>P</t>
        </is>
      </c>
      <c r="R21" s="36" t="inlineStr">
        <is>
          <t>P</t>
        </is>
      </c>
      <c r="S21" s="36" t="inlineStr">
        <is>
          <t>P</t>
        </is>
      </c>
      <c r="T21" s="38" t="inlineStr">
        <is>
          <t>-</t>
        </is>
      </c>
      <c r="U21" s="36" t="inlineStr">
        <is>
          <t>P</t>
        </is>
      </c>
      <c r="V21" s="36" t="inlineStr">
        <is>
          <t>P</t>
        </is>
      </c>
      <c r="W21" s="37" t="inlineStr">
        <is>
          <t>WO</t>
        </is>
      </c>
      <c r="X21" s="42" t="inlineStr">
        <is>
          <t>L</t>
        </is>
      </c>
      <c r="Y21" s="42" t="inlineStr">
        <is>
          <t>L</t>
        </is>
      </c>
      <c r="Z21" s="42" t="inlineStr">
        <is>
          <t>L</t>
        </is>
      </c>
      <c r="AA21" s="42" t="inlineStr">
        <is>
          <t>L</t>
        </is>
      </c>
      <c r="AB21" s="42" t="inlineStr">
        <is>
          <t>L</t>
        </is>
      </c>
      <c r="AC21" s="36" t="inlineStr">
        <is>
          <t>P</t>
        </is>
      </c>
      <c r="AD21" s="37" t="inlineStr">
        <is>
          <t>WO</t>
        </is>
      </c>
      <c r="AE21" s="38" t="inlineStr">
        <is>
          <t>-</t>
        </is>
      </c>
      <c r="AF21" s="38" t="inlineStr">
        <is>
          <t>-</t>
        </is>
      </c>
      <c r="AG21" s="39">
        <f>COUNTIF(B21:AF21, "P")</f>
        <v/>
      </c>
      <c r="AH21" s="15">
        <f>COUNTIF(B21:AF21, "CL")</f>
        <v/>
      </c>
      <c r="AI21" s="16">
        <f>COUNTIF(B21:AF21, "L")</f>
        <v/>
      </c>
      <c r="AJ21" s="17">
        <f>COUNTIF(B21:AF21, "WO")</f>
        <v/>
      </c>
      <c r="AK21" s="14">
        <f>COUNTIF(B21:AF21, "HO")</f>
        <v/>
      </c>
      <c r="AL21" s="18">
        <f>COUNTIF(B21:AF21, "CF")</f>
        <v/>
      </c>
      <c r="AM21" s="19">
        <f>AG21+AH21+AI21+AL21</f>
        <v/>
      </c>
      <c r="AN21" s="20">
        <f>IF(AM21&gt;0, AG21/AM21, 0)</f>
        <v/>
      </c>
    </row>
    <row r="22" ht="32" customHeight="1">
      <c r="A22" s="40" t="inlineStr">
        <is>
          <t>PRAVEEN KUMAR
Employee</t>
        </is>
      </c>
      <c r="B22" s="37" t="inlineStr">
        <is>
          <t>WO</t>
        </is>
      </c>
      <c r="C22" s="36" t="inlineStr">
        <is>
          <t>P</t>
        </is>
      </c>
      <c r="D22" s="36" t="inlineStr">
        <is>
          <t>P</t>
        </is>
      </c>
      <c r="E22" s="36" t="inlineStr">
        <is>
          <t>P</t>
        </is>
      </c>
      <c r="F22" s="36" t="inlineStr">
        <is>
          <t>P</t>
        </is>
      </c>
      <c r="G22" s="36" t="inlineStr">
        <is>
          <t>P</t>
        </is>
      </c>
      <c r="H22" s="36" t="inlineStr">
        <is>
          <t>P</t>
        </is>
      </c>
      <c r="I22" s="37" t="inlineStr">
        <is>
          <t>WO</t>
        </is>
      </c>
      <c r="J22" s="42" t="inlineStr">
        <is>
          <t>L</t>
        </is>
      </c>
      <c r="K22" s="42" t="inlineStr">
        <is>
          <t>L</t>
        </is>
      </c>
      <c r="L22" s="36" t="inlineStr">
        <is>
          <t>P</t>
        </is>
      </c>
      <c r="M22" s="36" t="inlineStr">
        <is>
          <t>P</t>
        </is>
      </c>
      <c r="N22" s="36" t="inlineStr">
        <is>
          <t>P</t>
        </is>
      </c>
      <c r="O22" s="36" t="inlineStr">
        <is>
          <t>P</t>
        </is>
      </c>
      <c r="P22" s="37" t="inlineStr">
        <is>
          <t>WO</t>
        </is>
      </c>
      <c r="Q22" s="42" t="inlineStr">
        <is>
          <t>L</t>
        </is>
      </c>
      <c r="R22" s="36" t="inlineStr">
        <is>
          <t>P</t>
        </is>
      </c>
      <c r="S22" s="42" t="inlineStr">
        <is>
          <t>L</t>
        </is>
      </c>
      <c r="T22" s="38" t="inlineStr">
        <is>
          <t>-</t>
        </is>
      </c>
      <c r="U22" s="42" t="inlineStr">
        <is>
          <t>L</t>
        </is>
      </c>
      <c r="V22" s="36" t="inlineStr">
        <is>
          <t>P</t>
        </is>
      </c>
      <c r="W22" s="37" t="inlineStr">
        <is>
          <t>WO</t>
        </is>
      </c>
      <c r="X22" s="42" t="inlineStr">
        <is>
          <t>L</t>
        </is>
      </c>
      <c r="Y22" s="42" t="inlineStr">
        <is>
          <t>L</t>
        </is>
      </c>
      <c r="Z22" s="36" t="inlineStr">
        <is>
          <t>P</t>
        </is>
      </c>
      <c r="AA22" s="42" t="inlineStr">
        <is>
          <t>L</t>
        </is>
      </c>
      <c r="AB22" s="42" t="inlineStr">
        <is>
          <t>L</t>
        </is>
      </c>
      <c r="AC22" s="36" t="inlineStr">
        <is>
          <t>P</t>
        </is>
      </c>
      <c r="AD22" s="37" t="inlineStr">
        <is>
          <t>WO</t>
        </is>
      </c>
      <c r="AE22" s="38" t="inlineStr">
        <is>
          <t>-</t>
        </is>
      </c>
      <c r="AF22" s="38" t="inlineStr">
        <is>
          <t>-</t>
        </is>
      </c>
      <c r="AG22" s="39">
        <f>COUNTIF(B22:AF22, "P")</f>
        <v/>
      </c>
      <c r="AH22" s="15">
        <f>COUNTIF(B22:AF22, "CL")</f>
        <v/>
      </c>
      <c r="AI22" s="16">
        <f>COUNTIF(B22:AF22, "L")</f>
        <v/>
      </c>
      <c r="AJ22" s="17">
        <f>COUNTIF(B22:AF22, "WO")</f>
        <v/>
      </c>
      <c r="AK22" s="14">
        <f>COUNTIF(B22:AF22, "HO")</f>
        <v/>
      </c>
      <c r="AL22" s="18">
        <f>COUNTIF(B22:AF22, "CF")</f>
        <v/>
      </c>
      <c r="AM22" s="19">
        <f>AG22+AH22+AI22+AL22</f>
        <v/>
      </c>
      <c r="AN22" s="20">
        <f>IF(AM22&gt;0, AG22/AM22, 0)</f>
        <v/>
      </c>
    </row>
    <row r="23" ht="32" customHeight="1">
      <c r="A23" s="35" t="inlineStr">
        <is>
          <t>RAVALI
Employee</t>
        </is>
      </c>
      <c r="B23" s="37" t="inlineStr">
        <is>
          <t>WO</t>
        </is>
      </c>
      <c r="C23" s="38" t="inlineStr">
        <is>
          <t>-</t>
        </is>
      </c>
      <c r="D23" s="38" t="inlineStr">
        <is>
          <t>-</t>
        </is>
      </c>
      <c r="E23" s="38" t="inlineStr">
        <is>
          <t>-</t>
        </is>
      </c>
      <c r="F23" s="38" t="inlineStr">
        <is>
          <t>-</t>
        </is>
      </c>
      <c r="G23" s="38" t="inlineStr">
        <is>
          <t>-</t>
        </is>
      </c>
      <c r="H23" s="38" t="inlineStr">
        <is>
          <t>-</t>
        </is>
      </c>
      <c r="I23" s="38" t="inlineStr">
        <is>
          <t>-</t>
        </is>
      </c>
      <c r="J23" s="38" t="inlineStr">
        <is>
          <t>-</t>
        </is>
      </c>
      <c r="K23" s="38" t="inlineStr">
        <is>
          <t>-</t>
        </is>
      </c>
      <c r="L23" s="38" t="inlineStr">
        <is>
          <t>-</t>
        </is>
      </c>
      <c r="M23" s="38" t="inlineStr">
        <is>
          <t>-</t>
        </is>
      </c>
      <c r="N23" s="38" t="inlineStr">
        <is>
          <t>-</t>
        </is>
      </c>
      <c r="O23" s="38" t="inlineStr">
        <is>
          <t>-</t>
        </is>
      </c>
      <c r="P23" s="38" t="inlineStr">
        <is>
          <t>-</t>
        </is>
      </c>
      <c r="Q23" s="38" t="inlineStr">
        <is>
          <t>-</t>
        </is>
      </c>
      <c r="R23" s="38" t="inlineStr">
        <is>
          <t>-</t>
        </is>
      </c>
      <c r="S23" s="38" t="inlineStr">
        <is>
          <t>-</t>
        </is>
      </c>
      <c r="T23" s="38" t="inlineStr">
        <is>
          <t>-</t>
        </is>
      </c>
      <c r="U23" s="38" t="inlineStr">
        <is>
          <t>-</t>
        </is>
      </c>
      <c r="V23" s="38" t="inlineStr">
        <is>
          <t>-</t>
        </is>
      </c>
      <c r="W23" s="38" t="inlineStr">
        <is>
          <t>-</t>
        </is>
      </c>
      <c r="X23" s="38" t="inlineStr">
        <is>
          <t>-</t>
        </is>
      </c>
      <c r="Y23" s="38" t="inlineStr">
        <is>
          <t>-</t>
        </is>
      </c>
      <c r="Z23" s="38" t="inlineStr">
        <is>
          <t>-</t>
        </is>
      </c>
      <c r="AA23" s="38" t="inlineStr">
        <is>
          <t>-</t>
        </is>
      </c>
      <c r="AB23" s="38" t="inlineStr">
        <is>
          <t>-</t>
        </is>
      </c>
      <c r="AC23" s="38" t="inlineStr">
        <is>
          <t>-</t>
        </is>
      </c>
      <c r="AD23" s="38" t="inlineStr">
        <is>
          <t>-</t>
        </is>
      </c>
      <c r="AE23" s="38" t="inlineStr">
        <is>
          <t>-</t>
        </is>
      </c>
      <c r="AF23" s="38" t="inlineStr">
        <is>
          <t>-</t>
        </is>
      </c>
      <c r="AG23" s="39">
        <f>COUNTIF(B23:AF23, "P")</f>
        <v/>
      </c>
      <c r="AH23" s="15">
        <f>COUNTIF(B23:AF23, "CL")</f>
        <v/>
      </c>
      <c r="AI23" s="16">
        <f>COUNTIF(B23:AF23, "L")</f>
        <v/>
      </c>
      <c r="AJ23" s="17">
        <f>COUNTIF(B23:AF23, "WO")</f>
        <v/>
      </c>
      <c r="AK23" s="14">
        <f>COUNTIF(B23:AF23, "HO")</f>
        <v/>
      </c>
      <c r="AL23" s="18">
        <f>COUNTIF(B23:AF23, "CF")</f>
        <v/>
      </c>
      <c r="AM23" s="19">
        <f>AG23+AH23+AI23+AL23</f>
        <v/>
      </c>
      <c r="AN23" s="20">
        <f>IF(AM23&gt;0, AG23/AM23, 0)</f>
        <v/>
      </c>
    </row>
    <row r="24" ht="32" customHeight="1">
      <c r="A24" s="40" t="inlineStr">
        <is>
          <t>SAI KUMAR
Employee</t>
        </is>
      </c>
      <c r="B24" s="38" t="inlineStr">
        <is>
          <t>-</t>
        </is>
      </c>
      <c r="C24" s="38" t="inlineStr">
        <is>
          <t>-</t>
        </is>
      </c>
      <c r="D24" s="38" t="inlineStr">
        <is>
          <t>-</t>
        </is>
      </c>
      <c r="E24" s="38" t="inlineStr">
        <is>
          <t>-</t>
        </is>
      </c>
      <c r="F24" s="38" t="inlineStr">
        <is>
          <t>-</t>
        </is>
      </c>
      <c r="G24" s="38" t="inlineStr">
        <is>
          <t>-</t>
        </is>
      </c>
      <c r="H24" s="38" t="inlineStr">
        <is>
          <t>-</t>
        </is>
      </c>
      <c r="I24" s="38" t="inlineStr">
        <is>
          <t>-</t>
        </is>
      </c>
      <c r="J24" s="38" t="inlineStr">
        <is>
          <t>-</t>
        </is>
      </c>
      <c r="K24" s="38" t="inlineStr">
        <is>
          <t>-</t>
        </is>
      </c>
      <c r="L24" s="38" t="inlineStr">
        <is>
          <t>-</t>
        </is>
      </c>
      <c r="M24" s="38" t="inlineStr">
        <is>
          <t>-</t>
        </is>
      </c>
      <c r="N24" s="38" t="inlineStr">
        <is>
          <t>-</t>
        </is>
      </c>
      <c r="O24" s="38" t="inlineStr">
        <is>
          <t>-</t>
        </is>
      </c>
      <c r="P24" s="38" t="inlineStr">
        <is>
          <t>-</t>
        </is>
      </c>
      <c r="Q24" s="38" t="inlineStr">
        <is>
          <t>-</t>
        </is>
      </c>
      <c r="R24" s="38" t="inlineStr">
        <is>
          <t>-</t>
        </is>
      </c>
      <c r="S24" s="38" t="inlineStr">
        <is>
          <t>-</t>
        </is>
      </c>
      <c r="T24" s="38" t="inlineStr">
        <is>
          <t>-</t>
        </is>
      </c>
      <c r="U24" s="38" t="inlineStr">
        <is>
          <t>-</t>
        </is>
      </c>
      <c r="V24" s="38" t="inlineStr">
        <is>
          <t>-</t>
        </is>
      </c>
      <c r="W24" s="38" t="inlineStr">
        <is>
          <t>-</t>
        </is>
      </c>
      <c r="X24" s="38" t="inlineStr">
        <is>
          <t>-</t>
        </is>
      </c>
      <c r="Y24" s="38" t="inlineStr">
        <is>
          <t>-</t>
        </is>
      </c>
      <c r="Z24" s="38" t="inlineStr">
        <is>
          <t>-</t>
        </is>
      </c>
      <c r="AA24" s="38" t="inlineStr">
        <is>
          <t>-</t>
        </is>
      </c>
      <c r="AB24" s="38" t="inlineStr">
        <is>
          <t>-</t>
        </is>
      </c>
      <c r="AC24" s="38" t="inlineStr">
        <is>
          <t>-</t>
        </is>
      </c>
      <c r="AD24" s="38" t="inlineStr">
        <is>
          <t>-</t>
        </is>
      </c>
      <c r="AE24" s="38" t="inlineStr">
        <is>
          <t>-</t>
        </is>
      </c>
      <c r="AF24" s="38" t="inlineStr">
        <is>
          <t>-</t>
        </is>
      </c>
      <c r="AG24" s="39">
        <f>COUNTIF(B24:AF24, "P")</f>
        <v/>
      </c>
      <c r="AH24" s="15">
        <f>COUNTIF(B24:AF24, "CL")</f>
        <v/>
      </c>
      <c r="AI24" s="16">
        <f>COUNTIF(B24:AF24, "L")</f>
        <v/>
      </c>
      <c r="AJ24" s="17">
        <f>COUNTIF(B24:AF24, "WO")</f>
        <v/>
      </c>
      <c r="AK24" s="14">
        <f>COUNTIF(B24:AF24, "HO")</f>
        <v/>
      </c>
      <c r="AL24" s="18">
        <f>COUNTIF(B24:AF24, "CF")</f>
        <v/>
      </c>
      <c r="AM24" s="19">
        <f>AG24+AH24+AI24+AL24</f>
        <v/>
      </c>
      <c r="AN24" s="20">
        <f>IF(AM24&gt;0, AG24/AM24, 0)</f>
        <v/>
      </c>
    </row>
    <row r="25" ht="32" customHeight="1">
      <c r="A25" s="35" t="inlineStr">
        <is>
          <t>VAISHNAVI
Employee</t>
        </is>
      </c>
      <c r="B25" s="38" t="inlineStr">
        <is>
          <t>-</t>
        </is>
      </c>
      <c r="C25" s="38" t="inlineStr">
        <is>
          <t>-</t>
        </is>
      </c>
      <c r="D25" s="38" t="inlineStr">
        <is>
          <t>-</t>
        </is>
      </c>
      <c r="E25" s="38" t="inlineStr">
        <is>
          <t>-</t>
        </is>
      </c>
      <c r="F25" s="38" t="inlineStr">
        <is>
          <t>-</t>
        </is>
      </c>
      <c r="G25" s="38" t="inlineStr">
        <is>
          <t>-</t>
        </is>
      </c>
      <c r="H25" s="38" t="inlineStr">
        <is>
          <t>-</t>
        </is>
      </c>
      <c r="I25" s="38" t="inlineStr">
        <is>
          <t>-</t>
        </is>
      </c>
      <c r="J25" s="38" t="inlineStr">
        <is>
          <t>-</t>
        </is>
      </c>
      <c r="K25" s="38" t="inlineStr">
        <is>
          <t>-</t>
        </is>
      </c>
      <c r="L25" s="38" t="inlineStr">
        <is>
          <t>-</t>
        </is>
      </c>
      <c r="M25" s="38" t="inlineStr">
        <is>
          <t>-</t>
        </is>
      </c>
      <c r="N25" s="38" t="inlineStr">
        <is>
          <t>-</t>
        </is>
      </c>
      <c r="O25" s="38" t="inlineStr">
        <is>
          <t>-</t>
        </is>
      </c>
      <c r="P25" s="38" t="inlineStr">
        <is>
          <t>-</t>
        </is>
      </c>
      <c r="Q25" s="38" t="inlineStr">
        <is>
          <t>-</t>
        </is>
      </c>
      <c r="R25" s="38" t="inlineStr">
        <is>
          <t>-</t>
        </is>
      </c>
      <c r="S25" s="38" t="inlineStr">
        <is>
          <t>-</t>
        </is>
      </c>
      <c r="T25" s="38" t="inlineStr">
        <is>
          <t>-</t>
        </is>
      </c>
      <c r="U25" s="38" t="inlineStr">
        <is>
          <t>-</t>
        </is>
      </c>
      <c r="V25" s="38" t="inlineStr">
        <is>
          <t>-</t>
        </is>
      </c>
      <c r="W25" s="38" t="inlineStr">
        <is>
          <t>-</t>
        </is>
      </c>
      <c r="X25" s="38" t="inlineStr">
        <is>
          <t>-</t>
        </is>
      </c>
      <c r="Y25" s="38" t="inlineStr">
        <is>
          <t>-</t>
        </is>
      </c>
      <c r="Z25" s="38" t="inlineStr">
        <is>
          <t>-</t>
        </is>
      </c>
      <c r="AA25" s="38" t="inlineStr">
        <is>
          <t>-</t>
        </is>
      </c>
      <c r="AB25" s="38" t="inlineStr">
        <is>
          <t>-</t>
        </is>
      </c>
      <c r="AC25" s="38" t="inlineStr">
        <is>
          <t>-</t>
        </is>
      </c>
      <c r="AD25" s="38" t="inlineStr">
        <is>
          <t>-</t>
        </is>
      </c>
      <c r="AE25" s="38" t="inlineStr">
        <is>
          <t>-</t>
        </is>
      </c>
      <c r="AF25" s="38" t="inlineStr">
        <is>
          <t>-</t>
        </is>
      </c>
      <c r="AG25" s="39">
        <f>COUNTIF(B25:AF25, "P")</f>
        <v/>
      </c>
      <c r="AH25" s="15">
        <f>COUNTIF(B25:AF25, "CL")</f>
        <v/>
      </c>
      <c r="AI25" s="16">
        <f>COUNTIF(B25:AF25, "L")</f>
        <v/>
      </c>
      <c r="AJ25" s="17">
        <f>COUNTIF(B25:AF25, "WO")</f>
        <v/>
      </c>
      <c r="AK25" s="14">
        <f>COUNTIF(B25:AF25, "HO")</f>
        <v/>
      </c>
      <c r="AL25" s="18">
        <f>COUNTIF(B25:AF25, "CF")</f>
        <v/>
      </c>
      <c r="AM25" s="19">
        <f>AG25+AH25+AI25+AL25</f>
        <v/>
      </c>
      <c r="AN25" s="20">
        <f>IF(AM25&gt;0, AG25/AM25, 0)</f>
        <v/>
      </c>
    </row>
    <row r="26" ht="32" customHeight="1">
      <c r="A26" s="40" t="inlineStr">
        <is>
          <t>VITTAL
Employee</t>
        </is>
      </c>
      <c r="B26" s="38" t="inlineStr">
        <is>
          <t>-</t>
        </is>
      </c>
      <c r="C26" s="38" t="inlineStr">
        <is>
          <t>-</t>
        </is>
      </c>
      <c r="D26" s="38" t="inlineStr">
        <is>
          <t>-</t>
        </is>
      </c>
      <c r="E26" s="38" t="inlineStr">
        <is>
          <t>-</t>
        </is>
      </c>
      <c r="F26" s="38" t="inlineStr">
        <is>
          <t>-</t>
        </is>
      </c>
      <c r="G26" s="38" t="inlineStr">
        <is>
          <t>-</t>
        </is>
      </c>
      <c r="H26" s="38" t="inlineStr">
        <is>
          <t>-</t>
        </is>
      </c>
      <c r="I26" s="38" t="inlineStr">
        <is>
          <t>-</t>
        </is>
      </c>
      <c r="J26" s="38" t="inlineStr">
        <is>
          <t>-</t>
        </is>
      </c>
      <c r="K26" s="38" t="inlineStr">
        <is>
          <t>-</t>
        </is>
      </c>
      <c r="L26" s="38" t="inlineStr">
        <is>
          <t>-</t>
        </is>
      </c>
      <c r="M26" s="38" t="inlineStr">
        <is>
          <t>-</t>
        </is>
      </c>
      <c r="N26" s="38" t="inlineStr">
        <is>
          <t>-</t>
        </is>
      </c>
      <c r="O26" s="38" t="inlineStr">
        <is>
          <t>-</t>
        </is>
      </c>
      <c r="P26" s="38" t="inlineStr">
        <is>
          <t>-</t>
        </is>
      </c>
      <c r="Q26" s="38" t="inlineStr">
        <is>
          <t>-</t>
        </is>
      </c>
      <c r="R26" s="38" t="inlineStr">
        <is>
          <t>-</t>
        </is>
      </c>
      <c r="S26" s="38" t="inlineStr">
        <is>
          <t>-</t>
        </is>
      </c>
      <c r="T26" s="38" t="inlineStr">
        <is>
          <t>-</t>
        </is>
      </c>
      <c r="U26" s="38" t="inlineStr">
        <is>
          <t>-</t>
        </is>
      </c>
      <c r="V26" s="38" t="inlineStr">
        <is>
          <t>-</t>
        </is>
      </c>
      <c r="W26" s="38" t="inlineStr">
        <is>
          <t>-</t>
        </is>
      </c>
      <c r="X26" s="38" t="inlineStr">
        <is>
          <t>-</t>
        </is>
      </c>
      <c r="Y26" s="38" t="inlineStr">
        <is>
          <t>-</t>
        </is>
      </c>
      <c r="Z26" s="38" t="inlineStr">
        <is>
          <t>-</t>
        </is>
      </c>
      <c r="AA26" s="38" t="inlineStr">
        <is>
          <t>-</t>
        </is>
      </c>
      <c r="AB26" s="38" t="inlineStr">
        <is>
          <t>-</t>
        </is>
      </c>
      <c r="AC26" s="38" t="inlineStr">
        <is>
          <t>-</t>
        </is>
      </c>
      <c r="AD26" s="38" t="inlineStr">
        <is>
          <t>-</t>
        </is>
      </c>
      <c r="AE26" s="38" t="inlineStr">
        <is>
          <t>-</t>
        </is>
      </c>
      <c r="AF26" s="38" t="inlineStr">
        <is>
          <t>-</t>
        </is>
      </c>
      <c r="AG26" s="39">
        <f>COUNTIF(B26:AF26, "P")</f>
        <v/>
      </c>
      <c r="AH26" s="15">
        <f>COUNTIF(B26:AF26, "CL")</f>
        <v/>
      </c>
      <c r="AI26" s="16">
        <f>COUNTIF(B26:AF26, "L")</f>
        <v/>
      </c>
      <c r="AJ26" s="17">
        <f>COUNTIF(B26:AF26, "WO")</f>
        <v/>
      </c>
      <c r="AK26" s="14">
        <f>COUNTIF(B26:AF26, "HO")</f>
        <v/>
      </c>
      <c r="AL26" s="18">
        <f>COUNTIF(B26:AF26, "CF")</f>
        <v/>
      </c>
      <c r="AM26" s="19">
        <f>AG26+AH26+AI26+AL26</f>
        <v/>
      </c>
      <c r="AN26" s="20">
        <f>IF(AM26&gt;0, AG26/AM26, 0)</f>
        <v/>
      </c>
    </row>
    <row r="27" ht="30" customHeight="1">
      <c r="A27" s="44" t="inlineStr">
        <is>
          <t>Overall Staff Total / Daily Present</t>
        </is>
      </c>
      <c r="B27" s="45">
        <f>COUNTIF(B5:B26, "P")</f>
        <v/>
      </c>
      <c r="C27" s="45">
        <f>COUNTIF(C5:C26, "P")</f>
        <v/>
      </c>
      <c r="D27" s="45">
        <f>COUNTIF(D5:D26, "P")</f>
        <v/>
      </c>
      <c r="E27" s="45">
        <f>COUNTIF(E5:E26, "P")</f>
        <v/>
      </c>
      <c r="F27" s="45">
        <f>COUNTIF(F5:F26, "P")</f>
        <v/>
      </c>
      <c r="G27" s="45">
        <f>COUNTIF(G5:G26, "P")</f>
        <v/>
      </c>
      <c r="H27" s="45">
        <f>COUNTIF(H5:H26, "P")</f>
        <v/>
      </c>
      <c r="I27" s="45">
        <f>COUNTIF(I5:I26, "P")</f>
        <v/>
      </c>
      <c r="J27" s="45">
        <f>COUNTIF(J5:J26, "P")</f>
        <v/>
      </c>
      <c r="K27" s="45">
        <f>COUNTIF(K5:K26, "P")</f>
        <v/>
      </c>
      <c r="L27" s="45">
        <f>COUNTIF(L5:L26, "P")</f>
        <v/>
      </c>
      <c r="M27" s="45">
        <f>COUNTIF(M5:M26, "P")</f>
        <v/>
      </c>
      <c r="N27" s="45">
        <f>COUNTIF(N5:N26, "P")</f>
        <v/>
      </c>
      <c r="O27" s="45">
        <f>COUNTIF(O5:O26, "P")</f>
        <v/>
      </c>
      <c r="P27" s="45">
        <f>COUNTIF(P5:P26, "P")</f>
        <v/>
      </c>
      <c r="Q27" s="45">
        <f>COUNTIF(Q5:Q26, "P")</f>
        <v/>
      </c>
      <c r="R27" s="45">
        <f>COUNTIF(R5:R26, "P")</f>
        <v/>
      </c>
      <c r="S27" s="45">
        <f>COUNTIF(S5:S26, "P")</f>
        <v/>
      </c>
      <c r="T27" s="45">
        <f>COUNTIF(T5:T26, "P")</f>
        <v/>
      </c>
      <c r="U27" s="45">
        <f>COUNTIF(U5:U26, "P")</f>
        <v/>
      </c>
      <c r="V27" s="45">
        <f>COUNTIF(V5:V26, "P")</f>
        <v/>
      </c>
      <c r="W27" s="45">
        <f>COUNTIF(W5:W26, "P")</f>
        <v/>
      </c>
      <c r="X27" s="45">
        <f>COUNTIF(X5:X26, "P")</f>
        <v/>
      </c>
      <c r="Y27" s="45">
        <f>COUNTIF(Y5:Y26, "P")</f>
        <v/>
      </c>
      <c r="Z27" s="45">
        <f>COUNTIF(Z5:Z26, "P")</f>
        <v/>
      </c>
      <c r="AA27" s="45">
        <f>COUNTIF(AA5:AA26, "P")</f>
        <v/>
      </c>
      <c r="AB27" s="45">
        <f>COUNTIF(AB5:AB26, "P")</f>
        <v/>
      </c>
      <c r="AC27" s="45">
        <f>COUNTIF(AC5:AC26, "P")</f>
        <v/>
      </c>
      <c r="AD27" s="45">
        <f>COUNTIF(AD5:AD26, "P")</f>
        <v/>
      </c>
      <c r="AE27" s="45">
        <f>COUNTIF(AE5:AE26, "P")</f>
        <v/>
      </c>
      <c r="AF27" s="45">
        <f>COUNTIF(AF5:AF26, "P")</f>
        <v/>
      </c>
      <c r="AG27" s="46">
        <f>SUM(AG5:AG26)</f>
        <v/>
      </c>
      <c r="AH27" s="46">
        <f>SUM(AH5:AH26)</f>
        <v/>
      </c>
      <c r="AI27" s="46">
        <f>SUM(AI5:AI26)</f>
        <v/>
      </c>
      <c r="AJ27" s="46">
        <f>SUM(AJ5:AJ26)</f>
        <v/>
      </c>
      <c r="AK27" s="46">
        <f>SUM(AK5:AK26)</f>
        <v/>
      </c>
      <c r="AL27" s="46">
        <f>SUM(AL5:AL26)</f>
        <v/>
      </c>
      <c r="AM27" s="46">
        <f>SUM(AM5:AM26)</f>
        <v/>
      </c>
      <c r="AN27" s="24">
        <f>IF(AM27&gt;0, AG27/AM27, 0)</f>
        <v/>
      </c>
    </row>
  </sheetData>
  <mergeCells count="2">
    <mergeCell ref="A2:AN2"/>
    <mergeCell ref="A1:A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2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4.5" customWidth="1" min="30" max="30"/>
    <col width="4.5" customWidth="1" min="31" max="31"/>
    <col width="4.5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11" customWidth="1" min="39" max="39"/>
    <col width="14" customWidth="1" min="40" max="40"/>
  </cols>
  <sheetData>
    <row r="1" ht="36" customHeight="1">
      <c r="A1" s="25" t="inlineStr">
        <is>
          <t>VASUS ATTENDANCE TRACKER — FEBRUARY 2026</t>
        </is>
      </c>
    </row>
    <row r="2" ht="24" customHeight="1">
      <c r="A2" s="2" t="inlineStr">
        <is>
          <t>Status Codes:  [P] Present (Green)  |  [CL] Casual Leave (Teal)  |  [L] Leave (Red)  |  [WO] Week Off (Purple)  |  [HO] Holiday (Mint)  |  [CF] Comp Off (Pink)  |  [-] Blank</t>
        </is>
      </c>
    </row>
    <row r="3" ht="10" customHeight="1"/>
    <row r="4" ht="36" customHeight="1">
      <c r="A4" s="26" t="inlineStr">
        <is>
          <t>Employee / Doctor</t>
        </is>
      </c>
      <c r="B4" s="27" t="inlineStr">
        <is>
          <t>1
Sun</t>
        </is>
      </c>
      <c r="C4" s="27" t="inlineStr">
        <is>
          <t>2
Mon</t>
        </is>
      </c>
      <c r="D4" s="27" t="inlineStr">
        <is>
          <t>3
Tue</t>
        </is>
      </c>
      <c r="E4" s="27" t="inlineStr">
        <is>
          <t>4
Wed</t>
        </is>
      </c>
      <c r="F4" s="27" t="inlineStr">
        <is>
          <t>5
Thu</t>
        </is>
      </c>
      <c r="G4" s="27" t="inlineStr">
        <is>
          <t>6
Fri</t>
        </is>
      </c>
      <c r="H4" s="27" t="inlineStr">
        <is>
          <t>7
Sat</t>
        </is>
      </c>
      <c r="I4" s="27" t="inlineStr">
        <is>
          <t>8
Sun</t>
        </is>
      </c>
      <c r="J4" s="27" t="inlineStr">
        <is>
          <t>9
Mon</t>
        </is>
      </c>
      <c r="K4" s="27" t="inlineStr">
        <is>
          <t>10
Tue</t>
        </is>
      </c>
      <c r="L4" s="27" t="inlineStr">
        <is>
          <t>11
Wed</t>
        </is>
      </c>
      <c r="M4" s="27" t="inlineStr">
        <is>
          <t>12
Thu</t>
        </is>
      </c>
      <c r="N4" s="27" t="inlineStr">
        <is>
          <t>13
Fri</t>
        </is>
      </c>
      <c r="O4" s="27" t="inlineStr">
        <is>
          <t>14
Sat</t>
        </is>
      </c>
      <c r="P4" s="27" t="inlineStr">
        <is>
          <t>15
Sun</t>
        </is>
      </c>
      <c r="Q4" s="27" t="inlineStr">
        <is>
          <t>16
Mon</t>
        </is>
      </c>
      <c r="R4" s="27" t="inlineStr">
        <is>
          <t>17
Tue</t>
        </is>
      </c>
      <c r="S4" s="27" t="inlineStr">
        <is>
          <t>18
Wed</t>
        </is>
      </c>
      <c r="T4" s="27" t="inlineStr">
        <is>
          <t>19
Thu</t>
        </is>
      </c>
      <c r="U4" s="27" t="inlineStr">
        <is>
          <t>20
Fri</t>
        </is>
      </c>
      <c r="V4" s="27" t="inlineStr">
        <is>
          <t>21
Sat</t>
        </is>
      </c>
      <c r="W4" s="27" t="inlineStr">
        <is>
          <t>22
Sun</t>
        </is>
      </c>
      <c r="X4" s="27" t="inlineStr">
        <is>
          <t>23
Mon</t>
        </is>
      </c>
      <c r="Y4" s="27" t="inlineStr">
        <is>
          <t>24
Tue</t>
        </is>
      </c>
      <c r="Z4" s="27" t="inlineStr">
        <is>
          <t>25
Wed</t>
        </is>
      </c>
      <c r="AA4" s="27" t="inlineStr">
        <is>
          <t>26
Thu</t>
        </is>
      </c>
      <c r="AB4" s="27" t="inlineStr">
        <is>
          <t>27
Fri</t>
        </is>
      </c>
      <c r="AC4" s="27" t="inlineStr">
        <is>
          <t>28
Sat</t>
        </is>
      </c>
      <c r="AD4" s="47" t="inlineStr">
        <is>
          <t>-</t>
        </is>
      </c>
      <c r="AE4" s="47" t="inlineStr">
        <is>
          <t>-</t>
        </is>
      </c>
      <c r="AF4" s="47" t="inlineStr">
        <is>
          <t>-</t>
        </is>
      </c>
      <c r="AG4" s="28" t="inlineStr">
        <is>
          <t>P</t>
        </is>
      </c>
      <c r="AH4" s="29" t="inlineStr">
        <is>
          <t>CL</t>
        </is>
      </c>
      <c r="AI4" s="30" t="inlineStr">
        <is>
          <t>L</t>
        </is>
      </c>
      <c r="AJ4" s="31" t="inlineStr">
        <is>
          <t>WO</t>
        </is>
      </c>
      <c r="AK4" s="32" t="inlineStr">
        <is>
          <t>HO</t>
        </is>
      </c>
      <c r="AL4" s="33" t="inlineStr">
        <is>
          <t>CF</t>
        </is>
      </c>
      <c r="AM4" s="27" t="inlineStr">
        <is>
          <t>Working
Days</t>
        </is>
      </c>
      <c r="AN4" s="34" t="inlineStr">
        <is>
          <t>Attendance
%</t>
        </is>
      </c>
    </row>
    <row r="5" ht="32" customHeight="1">
      <c r="A5" s="35" t="inlineStr">
        <is>
          <t>DR CHINJU
Doctor</t>
        </is>
      </c>
      <c r="B5" s="36" t="inlineStr">
        <is>
          <t>P</t>
        </is>
      </c>
      <c r="C5" s="36" t="inlineStr">
        <is>
          <t>P</t>
        </is>
      </c>
      <c r="D5" s="36" t="inlineStr">
        <is>
          <t>P</t>
        </is>
      </c>
      <c r="E5" s="36" t="inlineStr">
        <is>
          <t>P</t>
        </is>
      </c>
      <c r="F5" s="36" t="inlineStr">
        <is>
          <t>P</t>
        </is>
      </c>
      <c r="G5" s="37" t="inlineStr">
        <is>
          <t>WO</t>
        </is>
      </c>
      <c r="H5" s="36" t="inlineStr">
        <is>
          <t>P</t>
        </is>
      </c>
      <c r="I5" s="36" t="inlineStr">
        <is>
          <t>P</t>
        </is>
      </c>
      <c r="J5" s="36" t="inlineStr">
        <is>
          <t>P</t>
        </is>
      </c>
      <c r="K5" s="36" t="inlineStr">
        <is>
          <t>P</t>
        </is>
      </c>
      <c r="L5" s="36" t="inlineStr">
        <is>
          <t>P</t>
        </is>
      </c>
      <c r="M5" s="36" t="inlineStr">
        <is>
          <t>P</t>
        </is>
      </c>
      <c r="N5" s="36" t="inlineStr">
        <is>
          <t>P</t>
        </is>
      </c>
      <c r="O5" s="36" t="inlineStr">
        <is>
          <t>P</t>
        </is>
      </c>
      <c r="P5" s="37" t="inlineStr">
        <is>
          <t>WO</t>
        </is>
      </c>
      <c r="Q5" s="36" t="inlineStr">
        <is>
          <t>P</t>
        </is>
      </c>
      <c r="R5" s="36" t="inlineStr">
        <is>
          <t>P</t>
        </is>
      </c>
      <c r="S5" s="36" t="inlineStr">
        <is>
          <t>P</t>
        </is>
      </c>
      <c r="T5" s="36" t="inlineStr">
        <is>
          <t>P</t>
        </is>
      </c>
      <c r="U5" s="37" t="inlineStr">
        <is>
          <t>WO</t>
        </is>
      </c>
      <c r="V5" s="36" t="inlineStr">
        <is>
          <t>P</t>
        </is>
      </c>
      <c r="W5" s="36" t="inlineStr">
        <is>
          <t>P</t>
        </is>
      </c>
      <c r="X5" s="36" t="inlineStr">
        <is>
          <t>P</t>
        </is>
      </c>
      <c r="Y5" s="36" t="inlineStr">
        <is>
          <t>P</t>
        </is>
      </c>
      <c r="Z5" s="36" t="inlineStr">
        <is>
          <t>P</t>
        </is>
      </c>
      <c r="AA5" s="36" t="inlineStr">
        <is>
          <t>P</t>
        </is>
      </c>
      <c r="AB5" s="37" t="inlineStr">
        <is>
          <t>WO</t>
        </is>
      </c>
      <c r="AC5" s="38" t="inlineStr">
        <is>
          <t>-</t>
        </is>
      </c>
      <c r="AD5" s="48" t="inlineStr">
        <is>
          <t>-</t>
        </is>
      </c>
      <c r="AE5" s="48" t="inlineStr">
        <is>
          <t>-</t>
        </is>
      </c>
      <c r="AF5" s="48" t="inlineStr">
        <is>
          <t>-</t>
        </is>
      </c>
      <c r="AG5" s="39">
        <f>COUNTIF(B5:AC5, "P")</f>
        <v/>
      </c>
      <c r="AH5" s="15">
        <f>COUNTIF(B5:AC5, "CL")</f>
        <v/>
      </c>
      <c r="AI5" s="16">
        <f>COUNTIF(B5:AC5, "L")</f>
        <v/>
      </c>
      <c r="AJ5" s="17">
        <f>COUNTIF(B5:AC5, "WO")</f>
        <v/>
      </c>
      <c r="AK5" s="14">
        <f>COUNTIF(B5:AC5, "HO")</f>
        <v/>
      </c>
      <c r="AL5" s="18">
        <f>COUNTIF(B5:AC5, "CF")</f>
        <v/>
      </c>
      <c r="AM5" s="19">
        <f>AG5+AH5+AI5+AL5</f>
        <v/>
      </c>
      <c r="AN5" s="20">
        <f>IF(AM5&gt;0, AG5/AM5, 0)</f>
        <v/>
      </c>
    </row>
    <row r="6" ht="32" customHeight="1">
      <c r="A6" s="40" t="inlineStr">
        <is>
          <t>DR BINDU
Doctor</t>
        </is>
      </c>
      <c r="B6" s="37" t="inlineStr">
        <is>
          <t>WO</t>
        </is>
      </c>
      <c r="C6" s="36" t="inlineStr">
        <is>
          <t>P</t>
        </is>
      </c>
      <c r="D6" s="36" t="inlineStr">
        <is>
          <t>P</t>
        </is>
      </c>
      <c r="E6" s="36" t="inlineStr">
        <is>
          <t>P</t>
        </is>
      </c>
      <c r="F6" s="36" t="inlineStr">
        <is>
          <t>P</t>
        </is>
      </c>
      <c r="G6" s="36" t="inlineStr">
        <is>
          <t>P</t>
        </is>
      </c>
      <c r="H6" s="36" t="inlineStr">
        <is>
          <t>P</t>
        </is>
      </c>
      <c r="I6" s="37" t="inlineStr">
        <is>
          <t>WO</t>
        </is>
      </c>
      <c r="J6" s="36" t="inlineStr">
        <is>
          <t>P</t>
        </is>
      </c>
      <c r="K6" s="36" t="inlineStr">
        <is>
          <t>P</t>
        </is>
      </c>
      <c r="L6" s="36" t="inlineStr">
        <is>
          <t>P</t>
        </is>
      </c>
      <c r="M6" s="36" t="inlineStr">
        <is>
          <t>P</t>
        </is>
      </c>
      <c r="N6" s="36" t="inlineStr">
        <is>
          <t>P</t>
        </is>
      </c>
      <c r="O6" s="36" t="inlineStr">
        <is>
          <t>P</t>
        </is>
      </c>
      <c r="P6" s="37" t="inlineStr">
        <is>
          <t>WO</t>
        </is>
      </c>
      <c r="Q6" s="36" t="inlineStr">
        <is>
          <t>P</t>
        </is>
      </c>
      <c r="R6" s="36" t="inlineStr">
        <is>
          <t>P</t>
        </is>
      </c>
      <c r="S6" s="36" t="inlineStr">
        <is>
          <t>P</t>
        </is>
      </c>
      <c r="T6" s="36" t="inlineStr">
        <is>
          <t>P</t>
        </is>
      </c>
      <c r="U6" s="36" t="inlineStr">
        <is>
          <t>P</t>
        </is>
      </c>
      <c r="V6" s="36" t="inlineStr">
        <is>
          <t>P</t>
        </is>
      </c>
      <c r="W6" s="37" t="inlineStr">
        <is>
          <t>WO</t>
        </is>
      </c>
      <c r="X6" s="36" t="inlineStr">
        <is>
          <t>P</t>
        </is>
      </c>
      <c r="Y6" s="36" t="inlineStr">
        <is>
          <t>P</t>
        </is>
      </c>
      <c r="Z6" s="36" t="inlineStr">
        <is>
          <t>P</t>
        </is>
      </c>
      <c r="AA6" s="36" t="inlineStr">
        <is>
          <t>P</t>
        </is>
      </c>
      <c r="AB6" s="38" t="inlineStr">
        <is>
          <t>-</t>
        </is>
      </c>
      <c r="AC6" s="38" t="inlineStr">
        <is>
          <t>-</t>
        </is>
      </c>
      <c r="AD6" s="48" t="inlineStr">
        <is>
          <t>-</t>
        </is>
      </c>
      <c r="AE6" s="48" t="inlineStr">
        <is>
          <t>-</t>
        </is>
      </c>
      <c r="AF6" s="48" t="inlineStr">
        <is>
          <t>-</t>
        </is>
      </c>
      <c r="AG6" s="39">
        <f>COUNTIF(B6:AC6, "P")</f>
        <v/>
      </c>
      <c r="AH6" s="15">
        <f>COUNTIF(B6:AC6, "CL")</f>
        <v/>
      </c>
      <c r="AI6" s="16">
        <f>COUNTIF(B6:AC6, "L")</f>
        <v/>
      </c>
      <c r="AJ6" s="17">
        <f>COUNTIF(B6:AC6, "WO")</f>
        <v/>
      </c>
      <c r="AK6" s="14">
        <f>COUNTIF(B6:AC6, "HO")</f>
        <v/>
      </c>
      <c r="AL6" s="18">
        <f>COUNTIF(B6:AC6, "CF")</f>
        <v/>
      </c>
      <c r="AM6" s="19">
        <f>AG6+AH6+AI6+AL6</f>
        <v/>
      </c>
      <c r="AN6" s="20">
        <f>IF(AM6&gt;0, AG6/AM6, 0)</f>
        <v/>
      </c>
    </row>
    <row r="7" ht="32" customHeight="1">
      <c r="A7" s="35" t="inlineStr">
        <is>
          <t>DR PRANAY
Doctor</t>
        </is>
      </c>
      <c r="B7" s="37" t="inlineStr">
        <is>
          <t>WO</t>
        </is>
      </c>
      <c r="C7" s="36" t="inlineStr">
        <is>
          <t>P</t>
        </is>
      </c>
      <c r="D7" s="36" t="inlineStr">
        <is>
          <t>P</t>
        </is>
      </c>
      <c r="E7" s="36" t="inlineStr">
        <is>
          <t>P</t>
        </is>
      </c>
      <c r="F7" s="36" t="inlineStr">
        <is>
          <t>P</t>
        </is>
      </c>
      <c r="G7" s="36" t="inlineStr">
        <is>
          <t>P</t>
        </is>
      </c>
      <c r="H7" s="36" t="inlineStr">
        <is>
          <t>P</t>
        </is>
      </c>
      <c r="I7" s="37" t="inlineStr">
        <is>
          <t>WO</t>
        </is>
      </c>
      <c r="J7" s="36" t="inlineStr">
        <is>
          <t>P</t>
        </is>
      </c>
      <c r="K7" s="36" t="inlineStr">
        <is>
          <t>P</t>
        </is>
      </c>
      <c r="L7" s="36" t="inlineStr">
        <is>
          <t>P</t>
        </is>
      </c>
      <c r="M7" s="36" t="inlineStr">
        <is>
          <t>P</t>
        </is>
      </c>
      <c r="N7" s="36" t="inlineStr">
        <is>
          <t>P</t>
        </is>
      </c>
      <c r="O7" s="36" t="inlineStr">
        <is>
          <t>P</t>
        </is>
      </c>
      <c r="P7" s="37" t="inlineStr">
        <is>
          <t>WO</t>
        </is>
      </c>
      <c r="Q7" s="36" t="inlineStr">
        <is>
          <t>P</t>
        </is>
      </c>
      <c r="R7" s="36" t="inlineStr">
        <is>
          <t>P</t>
        </is>
      </c>
      <c r="S7" s="36" t="inlineStr">
        <is>
          <t>P</t>
        </is>
      </c>
      <c r="T7" s="36" t="inlineStr">
        <is>
          <t>P</t>
        </is>
      </c>
      <c r="U7" s="36" t="inlineStr">
        <is>
          <t>P</t>
        </is>
      </c>
      <c r="V7" s="36" t="inlineStr">
        <is>
          <t>P</t>
        </is>
      </c>
      <c r="W7" s="37" t="inlineStr">
        <is>
          <t>WO</t>
        </is>
      </c>
      <c r="X7" s="36" t="inlineStr">
        <is>
          <t>P</t>
        </is>
      </c>
      <c r="Y7" s="36" t="inlineStr">
        <is>
          <t>P</t>
        </is>
      </c>
      <c r="Z7" s="36" t="inlineStr">
        <is>
          <t>P</t>
        </is>
      </c>
      <c r="AA7" s="36" t="inlineStr">
        <is>
          <t>P</t>
        </is>
      </c>
      <c r="AB7" s="38" t="inlineStr">
        <is>
          <t>-</t>
        </is>
      </c>
      <c r="AC7" s="38" t="inlineStr">
        <is>
          <t>-</t>
        </is>
      </c>
      <c r="AD7" s="48" t="inlineStr">
        <is>
          <t>-</t>
        </is>
      </c>
      <c r="AE7" s="48" t="inlineStr">
        <is>
          <t>-</t>
        </is>
      </c>
      <c r="AF7" s="48" t="inlineStr">
        <is>
          <t>-</t>
        </is>
      </c>
      <c r="AG7" s="39">
        <f>COUNTIF(B7:AC7, "P")</f>
        <v/>
      </c>
      <c r="AH7" s="15">
        <f>COUNTIF(B7:AC7, "CL")</f>
        <v/>
      </c>
      <c r="AI7" s="16">
        <f>COUNTIF(B7:AC7, "L")</f>
        <v/>
      </c>
      <c r="AJ7" s="17">
        <f>COUNTIF(B7:AC7, "WO")</f>
        <v/>
      </c>
      <c r="AK7" s="14">
        <f>COUNTIF(B7:AC7, "HO")</f>
        <v/>
      </c>
      <c r="AL7" s="18">
        <f>COUNTIF(B7:AC7, "CF")</f>
        <v/>
      </c>
      <c r="AM7" s="19">
        <f>AG7+AH7+AI7+AL7</f>
        <v/>
      </c>
      <c r="AN7" s="20">
        <f>IF(AM7&gt;0, AG7/AM7, 0)</f>
        <v/>
      </c>
    </row>
    <row r="8" ht="32" customHeight="1">
      <c r="A8" s="40" t="inlineStr">
        <is>
          <t>DR SUNITHA
Doctor</t>
        </is>
      </c>
      <c r="B8" s="37" t="inlineStr">
        <is>
          <t>WO</t>
        </is>
      </c>
      <c r="C8" s="36" t="inlineStr">
        <is>
          <t>P</t>
        </is>
      </c>
      <c r="D8" s="36" t="inlineStr">
        <is>
          <t>P</t>
        </is>
      </c>
      <c r="E8" s="36" t="inlineStr">
        <is>
          <t>P</t>
        </is>
      </c>
      <c r="F8" s="36" t="inlineStr">
        <is>
          <t>P</t>
        </is>
      </c>
      <c r="G8" s="36" t="inlineStr">
        <is>
          <t>P</t>
        </is>
      </c>
      <c r="H8" s="36" t="inlineStr">
        <is>
          <t>P</t>
        </is>
      </c>
      <c r="I8" s="37" t="inlineStr">
        <is>
          <t>WO</t>
        </is>
      </c>
      <c r="J8" s="41" t="inlineStr">
        <is>
          <t>CL</t>
        </is>
      </c>
      <c r="K8" s="43" t="inlineStr">
        <is>
          <t>CF</t>
        </is>
      </c>
      <c r="L8" s="42" t="inlineStr">
        <is>
          <t>L</t>
        </is>
      </c>
      <c r="M8" s="42" t="inlineStr">
        <is>
          <t>L</t>
        </is>
      </c>
      <c r="N8" s="42" t="inlineStr">
        <is>
          <t>L</t>
        </is>
      </c>
      <c r="O8" s="36" t="inlineStr">
        <is>
          <t>P</t>
        </is>
      </c>
      <c r="P8" s="36" t="inlineStr">
        <is>
          <t>P</t>
        </is>
      </c>
      <c r="Q8" s="36" t="inlineStr">
        <is>
          <t>P</t>
        </is>
      </c>
      <c r="R8" s="36" t="inlineStr">
        <is>
          <t>P</t>
        </is>
      </c>
      <c r="S8" s="36" t="inlineStr">
        <is>
          <t>P</t>
        </is>
      </c>
      <c r="T8" s="36" t="inlineStr">
        <is>
          <t>P</t>
        </is>
      </c>
      <c r="U8" s="36" t="inlineStr">
        <is>
          <t>P</t>
        </is>
      </c>
      <c r="V8" s="42" t="inlineStr">
        <is>
          <t>L</t>
        </is>
      </c>
      <c r="W8" s="37" t="inlineStr">
        <is>
          <t>WO</t>
        </is>
      </c>
      <c r="X8" s="36" t="inlineStr">
        <is>
          <t>P</t>
        </is>
      </c>
      <c r="Y8" s="43" t="inlineStr">
        <is>
          <t>CF</t>
        </is>
      </c>
      <c r="Z8" s="36" t="inlineStr">
        <is>
          <t>P</t>
        </is>
      </c>
      <c r="AA8" s="36" t="inlineStr">
        <is>
          <t>P</t>
        </is>
      </c>
      <c r="AB8" s="38" t="inlineStr">
        <is>
          <t>-</t>
        </is>
      </c>
      <c r="AC8" s="38" t="inlineStr">
        <is>
          <t>-</t>
        </is>
      </c>
      <c r="AD8" s="48" t="inlineStr">
        <is>
          <t>-</t>
        </is>
      </c>
      <c r="AE8" s="48" t="inlineStr">
        <is>
          <t>-</t>
        </is>
      </c>
      <c r="AF8" s="48" t="inlineStr">
        <is>
          <t>-</t>
        </is>
      </c>
      <c r="AG8" s="39">
        <f>COUNTIF(B8:AC8, "P")</f>
        <v/>
      </c>
      <c r="AH8" s="15">
        <f>COUNTIF(B8:AC8, "CL")</f>
        <v/>
      </c>
      <c r="AI8" s="16">
        <f>COUNTIF(B8:AC8, "L")</f>
        <v/>
      </c>
      <c r="AJ8" s="17">
        <f>COUNTIF(B8:AC8, "WO")</f>
        <v/>
      </c>
      <c r="AK8" s="14">
        <f>COUNTIF(B8:AC8, "HO")</f>
        <v/>
      </c>
      <c r="AL8" s="18">
        <f>COUNTIF(B8:AC8, "CF")</f>
        <v/>
      </c>
      <c r="AM8" s="19">
        <f>AG8+AH8+AI8+AL8</f>
        <v/>
      </c>
      <c r="AN8" s="20">
        <f>IF(AM8&gt;0, AG8/AM8, 0)</f>
        <v/>
      </c>
    </row>
    <row r="9" ht="32" customHeight="1">
      <c r="A9" s="35" t="inlineStr">
        <is>
          <t>DR VARUN
Doctor</t>
        </is>
      </c>
      <c r="B9" s="38" t="inlineStr">
        <is>
          <t>-</t>
        </is>
      </c>
      <c r="C9" s="38" t="inlineStr">
        <is>
          <t>-</t>
        </is>
      </c>
      <c r="D9" s="38" t="inlineStr">
        <is>
          <t>-</t>
        </is>
      </c>
      <c r="E9" s="38" t="inlineStr">
        <is>
          <t>-</t>
        </is>
      </c>
      <c r="F9" s="38" t="inlineStr">
        <is>
          <t>-</t>
        </is>
      </c>
      <c r="G9" s="38" t="inlineStr">
        <is>
          <t>-</t>
        </is>
      </c>
      <c r="H9" s="38" t="inlineStr">
        <is>
          <t>-</t>
        </is>
      </c>
      <c r="I9" s="38" t="inlineStr">
        <is>
          <t>-</t>
        </is>
      </c>
      <c r="J9" s="38" t="inlineStr">
        <is>
          <t>-</t>
        </is>
      </c>
      <c r="K9" s="38" t="inlineStr">
        <is>
          <t>-</t>
        </is>
      </c>
      <c r="L9" s="38" t="inlineStr">
        <is>
          <t>-</t>
        </is>
      </c>
      <c r="M9" s="38" t="inlineStr">
        <is>
          <t>-</t>
        </is>
      </c>
      <c r="N9" s="38" t="inlineStr">
        <is>
          <t>-</t>
        </is>
      </c>
      <c r="O9" s="38" t="inlineStr">
        <is>
          <t>-</t>
        </is>
      </c>
      <c r="P9" s="38" t="inlineStr">
        <is>
          <t>-</t>
        </is>
      </c>
      <c r="Q9" s="38" t="inlineStr">
        <is>
          <t>-</t>
        </is>
      </c>
      <c r="R9" s="38" t="inlineStr">
        <is>
          <t>-</t>
        </is>
      </c>
      <c r="S9" s="38" t="inlineStr">
        <is>
          <t>-</t>
        </is>
      </c>
      <c r="T9" s="38" t="inlineStr">
        <is>
          <t>-</t>
        </is>
      </c>
      <c r="U9" s="38" t="inlineStr">
        <is>
          <t>-</t>
        </is>
      </c>
      <c r="V9" s="38" t="inlineStr">
        <is>
          <t>-</t>
        </is>
      </c>
      <c r="W9" s="38" t="inlineStr">
        <is>
          <t>-</t>
        </is>
      </c>
      <c r="X9" s="38" t="inlineStr">
        <is>
          <t>-</t>
        </is>
      </c>
      <c r="Y9" s="38" t="inlineStr">
        <is>
          <t>-</t>
        </is>
      </c>
      <c r="Z9" s="38" t="inlineStr">
        <is>
          <t>-</t>
        </is>
      </c>
      <c r="AA9" s="38" t="inlineStr">
        <is>
          <t>-</t>
        </is>
      </c>
      <c r="AB9" s="38" t="inlineStr">
        <is>
          <t>-</t>
        </is>
      </c>
      <c r="AC9" s="38" t="inlineStr">
        <is>
          <t>-</t>
        </is>
      </c>
      <c r="AD9" s="48" t="inlineStr">
        <is>
          <t>-</t>
        </is>
      </c>
      <c r="AE9" s="48" t="inlineStr">
        <is>
          <t>-</t>
        </is>
      </c>
      <c r="AF9" s="48" t="inlineStr">
        <is>
          <t>-</t>
        </is>
      </c>
      <c r="AG9" s="39">
        <f>COUNTIF(B9:AC9, "P")</f>
        <v/>
      </c>
      <c r="AH9" s="15">
        <f>COUNTIF(B9:AC9, "CL")</f>
        <v/>
      </c>
      <c r="AI9" s="16">
        <f>COUNTIF(B9:AC9, "L")</f>
        <v/>
      </c>
      <c r="AJ9" s="17">
        <f>COUNTIF(B9:AC9, "WO")</f>
        <v/>
      </c>
      <c r="AK9" s="14">
        <f>COUNTIF(B9:AC9, "HO")</f>
        <v/>
      </c>
      <c r="AL9" s="18">
        <f>COUNTIF(B9:AC9, "CF")</f>
        <v/>
      </c>
      <c r="AM9" s="19">
        <f>AG9+AH9+AI9+AL9</f>
        <v/>
      </c>
      <c r="AN9" s="20">
        <f>IF(AM9&gt;0, AG9/AM9, 0)</f>
        <v/>
      </c>
    </row>
    <row r="10" ht="32" customHeight="1">
      <c r="A10" s="40" t="inlineStr">
        <is>
          <t>Ch Praveen Kumar
Employee</t>
        </is>
      </c>
      <c r="B10" s="37" t="inlineStr">
        <is>
          <t>WO</t>
        </is>
      </c>
      <c r="C10" s="36" t="inlineStr">
        <is>
          <t>P</t>
        </is>
      </c>
      <c r="D10" s="36" t="inlineStr">
        <is>
          <t>P</t>
        </is>
      </c>
      <c r="E10" s="36" t="inlineStr">
        <is>
          <t>P</t>
        </is>
      </c>
      <c r="F10" s="36" t="inlineStr">
        <is>
          <t>P</t>
        </is>
      </c>
      <c r="G10" s="36" t="inlineStr">
        <is>
          <t>P</t>
        </is>
      </c>
      <c r="H10" s="36" t="inlineStr">
        <is>
          <t>P</t>
        </is>
      </c>
      <c r="I10" s="37" t="inlineStr">
        <is>
          <t>WO</t>
        </is>
      </c>
      <c r="J10" s="36" t="inlineStr">
        <is>
          <t>P</t>
        </is>
      </c>
      <c r="K10" s="36" t="inlineStr">
        <is>
          <t>P</t>
        </is>
      </c>
      <c r="L10" s="36" t="inlineStr">
        <is>
          <t>P</t>
        </is>
      </c>
      <c r="M10" s="36" t="inlineStr">
        <is>
          <t>P</t>
        </is>
      </c>
      <c r="N10" s="36" t="inlineStr">
        <is>
          <t>P</t>
        </is>
      </c>
      <c r="O10" s="36" t="inlineStr">
        <is>
          <t>P</t>
        </is>
      </c>
      <c r="P10" s="37" t="inlineStr">
        <is>
          <t>WO</t>
        </is>
      </c>
      <c r="Q10" s="36" t="inlineStr">
        <is>
          <t>P</t>
        </is>
      </c>
      <c r="R10" s="36" t="inlineStr">
        <is>
          <t>P</t>
        </is>
      </c>
      <c r="S10" s="36" t="inlineStr">
        <is>
          <t>P</t>
        </is>
      </c>
      <c r="T10" s="36" t="inlineStr">
        <is>
          <t>P</t>
        </is>
      </c>
      <c r="U10" s="36" t="inlineStr">
        <is>
          <t>P</t>
        </is>
      </c>
      <c r="V10" s="36" t="inlineStr">
        <is>
          <t>P</t>
        </is>
      </c>
      <c r="W10" s="37" t="inlineStr">
        <is>
          <t>WO</t>
        </is>
      </c>
      <c r="X10" s="36" t="inlineStr">
        <is>
          <t>P</t>
        </is>
      </c>
      <c r="Y10" s="36" t="inlineStr">
        <is>
          <t>P</t>
        </is>
      </c>
      <c r="Z10" s="36" t="inlineStr">
        <is>
          <t>P</t>
        </is>
      </c>
      <c r="AA10" s="36" t="inlineStr">
        <is>
          <t>P</t>
        </is>
      </c>
      <c r="AB10" s="38" t="inlineStr">
        <is>
          <t>-</t>
        </is>
      </c>
      <c r="AC10" s="38" t="inlineStr">
        <is>
          <t>-</t>
        </is>
      </c>
      <c r="AD10" s="48" t="inlineStr">
        <is>
          <t>-</t>
        </is>
      </c>
      <c r="AE10" s="48" t="inlineStr">
        <is>
          <t>-</t>
        </is>
      </c>
      <c r="AF10" s="48" t="inlineStr">
        <is>
          <t>-</t>
        </is>
      </c>
      <c r="AG10" s="39">
        <f>COUNTIF(B10:AC10, "P")</f>
        <v/>
      </c>
      <c r="AH10" s="15">
        <f>COUNTIF(B10:AC10, "CL")</f>
        <v/>
      </c>
      <c r="AI10" s="16">
        <f>COUNTIF(B10:AC10, "L")</f>
        <v/>
      </c>
      <c r="AJ10" s="17">
        <f>COUNTIF(B10:AC10, "WO")</f>
        <v/>
      </c>
      <c r="AK10" s="14">
        <f>COUNTIF(B10:AC10, "HO")</f>
        <v/>
      </c>
      <c r="AL10" s="18">
        <f>COUNTIF(B10:AC10, "CF")</f>
        <v/>
      </c>
      <c r="AM10" s="19">
        <f>AG10+AH10+AI10+AL10</f>
        <v/>
      </c>
      <c r="AN10" s="20">
        <f>IF(AM10&gt;0, AG10/AM10, 0)</f>
        <v/>
      </c>
    </row>
    <row r="11" ht="32" customHeight="1">
      <c r="A11" s="35" t="inlineStr">
        <is>
          <t>KAVITHA
Employee</t>
        </is>
      </c>
      <c r="B11" s="37" t="inlineStr">
        <is>
          <t>WO</t>
        </is>
      </c>
      <c r="C11" s="36" t="inlineStr">
        <is>
          <t>P</t>
        </is>
      </c>
      <c r="D11" s="36" t="inlineStr">
        <is>
          <t>P</t>
        </is>
      </c>
      <c r="E11" s="36" t="inlineStr">
        <is>
          <t>P</t>
        </is>
      </c>
      <c r="F11" s="36" t="inlineStr">
        <is>
          <t>P</t>
        </is>
      </c>
      <c r="G11" s="36" t="inlineStr">
        <is>
          <t>P</t>
        </is>
      </c>
      <c r="H11" s="36" t="inlineStr">
        <is>
          <t>P</t>
        </is>
      </c>
      <c r="I11" s="37" t="inlineStr">
        <is>
          <t>WO</t>
        </is>
      </c>
      <c r="J11" s="36" t="inlineStr">
        <is>
          <t>P</t>
        </is>
      </c>
      <c r="K11" s="36" t="inlineStr">
        <is>
          <t>P</t>
        </is>
      </c>
      <c r="L11" s="36" t="inlineStr">
        <is>
          <t>P</t>
        </is>
      </c>
      <c r="M11" s="36" t="inlineStr">
        <is>
          <t>P</t>
        </is>
      </c>
      <c r="N11" s="36" t="inlineStr">
        <is>
          <t>P</t>
        </is>
      </c>
      <c r="O11" s="36" t="inlineStr">
        <is>
          <t>P</t>
        </is>
      </c>
      <c r="P11" s="37" t="inlineStr">
        <is>
          <t>WO</t>
        </is>
      </c>
      <c r="Q11" s="36" t="inlineStr">
        <is>
          <t>P</t>
        </is>
      </c>
      <c r="R11" s="36" t="inlineStr">
        <is>
          <t>P</t>
        </is>
      </c>
      <c r="S11" s="36" t="inlineStr">
        <is>
          <t>P</t>
        </is>
      </c>
      <c r="T11" s="36" t="inlineStr">
        <is>
          <t>P</t>
        </is>
      </c>
      <c r="U11" s="36" t="inlineStr">
        <is>
          <t>P</t>
        </is>
      </c>
      <c r="V11" s="36" t="inlineStr">
        <is>
          <t>P</t>
        </is>
      </c>
      <c r="W11" s="37" t="inlineStr">
        <is>
          <t>WO</t>
        </is>
      </c>
      <c r="X11" s="36" t="inlineStr">
        <is>
          <t>P</t>
        </is>
      </c>
      <c r="Y11" s="36" t="inlineStr">
        <is>
          <t>P</t>
        </is>
      </c>
      <c r="Z11" s="36" t="inlineStr">
        <is>
          <t>P</t>
        </is>
      </c>
      <c r="AA11" s="36" t="inlineStr">
        <is>
          <t>P</t>
        </is>
      </c>
      <c r="AB11" s="38" t="inlineStr">
        <is>
          <t>-</t>
        </is>
      </c>
      <c r="AC11" s="38" t="inlineStr">
        <is>
          <t>-</t>
        </is>
      </c>
      <c r="AD11" s="48" t="inlineStr">
        <is>
          <t>-</t>
        </is>
      </c>
      <c r="AE11" s="48" t="inlineStr">
        <is>
          <t>-</t>
        </is>
      </c>
      <c r="AF11" s="48" t="inlineStr">
        <is>
          <t>-</t>
        </is>
      </c>
      <c r="AG11" s="39">
        <f>COUNTIF(B11:AC11, "P")</f>
        <v/>
      </c>
      <c r="AH11" s="15">
        <f>COUNTIF(B11:AC11, "CL")</f>
        <v/>
      </c>
      <c r="AI11" s="16">
        <f>COUNTIF(B11:AC11, "L")</f>
        <v/>
      </c>
      <c r="AJ11" s="17">
        <f>COUNTIF(B11:AC11, "WO")</f>
        <v/>
      </c>
      <c r="AK11" s="14">
        <f>COUNTIF(B11:AC11, "HO")</f>
        <v/>
      </c>
      <c r="AL11" s="18">
        <f>COUNTIF(B11:AC11, "CF")</f>
        <v/>
      </c>
      <c r="AM11" s="19">
        <f>AG11+AH11+AI11+AL11</f>
        <v/>
      </c>
      <c r="AN11" s="20">
        <f>IF(AM11&gt;0, AG11/AM11, 0)</f>
        <v/>
      </c>
    </row>
    <row r="12" ht="32" customHeight="1">
      <c r="A12" s="40" t="inlineStr">
        <is>
          <t>LAXMINARAYANA
Employee</t>
        </is>
      </c>
      <c r="B12" s="37" t="inlineStr">
        <is>
          <t>WO</t>
        </is>
      </c>
      <c r="C12" s="36" t="inlineStr">
        <is>
          <t>P</t>
        </is>
      </c>
      <c r="D12" s="36" t="inlineStr">
        <is>
          <t>P</t>
        </is>
      </c>
      <c r="E12" s="36" t="inlineStr">
        <is>
          <t>P</t>
        </is>
      </c>
      <c r="F12" s="36" t="inlineStr">
        <is>
          <t>P</t>
        </is>
      </c>
      <c r="G12" s="36" t="inlineStr">
        <is>
          <t>P</t>
        </is>
      </c>
      <c r="H12" s="36" t="inlineStr">
        <is>
          <t>P</t>
        </is>
      </c>
      <c r="I12" s="37" t="inlineStr">
        <is>
          <t>WO</t>
        </is>
      </c>
      <c r="J12" s="36" t="inlineStr">
        <is>
          <t>P</t>
        </is>
      </c>
      <c r="K12" s="36" t="inlineStr">
        <is>
          <t>P</t>
        </is>
      </c>
      <c r="L12" s="36" t="inlineStr">
        <is>
          <t>P</t>
        </is>
      </c>
      <c r="M12" s="36" t="inlineStr">
        <is>
          <t>P</t>
        </is>
      </c>
      <c r="N12" s="36" t="inlineStr">
        <is>
          <t>P</t>
        </is>
      </c>
      <c r="O12" s="36" t="inlineStr">
        <is>
          <t>P</t>
        </is>
      </c>
      <c r="P12" s="37" t="inlineStr">
        <is>
          <t>WO</t>
        </is>
      </c>
      <c r="Q12" s="36" t="inlineStr">
        <is>
          <t>P</t>
        </is>
      </c>
      <c r="R12" s="36" t="inlineStr">
        <is>
          <t>P</t>
        </is>
      </c>
      <c r="S12" s="36" t="inlineStr">
        <is>
          <t>P</t>
        </is>
      </c>
      <c r="T12" s="36" t="inlineStr">
        <is>
          <t>P</t>
        </is>
      </c>
      <c r="U12" s="36" t="inlineStr">
        <is>
          <t>P</t>
        </is>
      </c>
      <c r="V12" s="36" t="inlineStr">
        <is>
          <t>P</t>
        </is>
      </c>
      <c r="W12" s="37" t="inlineStr">
        <is>
          <t>WO</t>
        </is>
      </c>
      <c r="X12" s="36" t="inlineStr">
        <is>
          <t>P</t>
        </is>
      </c>
      <c r="Y12" s="36" t="inlineStr">
        <is>
          <t>P</t>
        </is>
      </c>
      <c r="Z12" s="36" t="inlineStr">
        <is>
          <t>P</t>
        </is>
      </c>
      <c r="AA12" s="36" t="inlineStr">
        <is>
          <t>P</t>
        </is>
      </c>
      <c r="AB12" s="38" t="inlineStr">
        <is>
          <t>-</t>
        </is>
      </c>
      <c r="AC12" s="38" t="inlineStr">
        <is>
          <t>-</t>
        </is>
      </c>
      <c r="AD12" s="48" t="inlineStr">
        <is>
          <t>-</t>
        </is>
      </c>
      <c r="AE12" s="48" t="inlineStr">
        <is>
          <t>-</t>
        </is>
      </c>
      <c r="AF12" s="48" t="inlineStr">
        <is>
          <t>-</t>
        </is>
      </c>
      <c r="AG12" s="39">
        <f>COUNTIF(B12:AC12, "P")</f>
        <v/>
      </c>
      <c r="AH12" s="15">
        <f>COUNTIF(B12:AC12, "CL")</f>
        <v/>
      </c>
      <c r="AI12" s="16">
        <f>COUNTIF(B12:AC12, "L")</f>
        <v/>
      </c>
      <c r="AJ12" s="17">
        <f>COUNTIF(B12:AC12, "WO")</f>
        <v/>
      </c>
      <c r="AK12" s="14">
        <f>COUNTIF(B12:AC12, "HO")</f>
        <v/>
      </c>
      <c r="AL12" s="18">
        <f>COUNTIF(B12:AC12, "CF")</f>
        <v/>
      </c>
      <c r="AM12" s="19">
        <f>AG12+AH12+AI12+AL12</f>
        <v/>
      </c>
      <c r="AN12" s="20">
        <f>IF(AM12&gt;0, AG12/AM12, 0)</f>
        <v/>
      </c>
    </row>
    <row r="13" ht="32" customHeight="1">
      <c r="A13" s="35" t="inlineStr">
        <is>
          <t>SIRISHA
Employee</t>
        </is>
      </c>
      <c r="B13" s="37" t="inlineStr">
        <is>
          <t>WO</t>
        </is>
      </c>
      <c r="C13" s="36" t="inlineStr">
        <is>
          <t>P</t>
        </is>
      </c>
      <c r="D13" s="36" t="inlineStr">
        <is>
          <t>P</t>
        </is>
      </c>
      <c r="E13" s="36" t="inlineStr">
        <is>
          <t>P</t>
        </is>
      </c>
      <c r="F13" s="36" t="inlineStr">
        <is>
          <t>P</t>
        </is>
      </c>
      <c r="G13" s="36" t="inlineStr">
        <is>
          <t>P</t>
        </is>
      </c>
      <c r="H13" s="41" t="inlineStr">
        <is>
          <t>CL</t>
        </is>
      </c>
      <c r="I13" s="37" t="inlineStr">
        <is>
          <t>WO</t>
        </is>
      </c>
      <c r="J13" s="36" t="inlineStr">
        <is>
          <t>P</t>
        </is>
      </c>
      <c r="K13" s="36" t="inlineStr">
        <is>
          <t>P</t>
        </is>
      </c>
      <c r="L13" s="36" t="inlineStr">
        <is>
          <t>P</t>
        </is>
      </c>
      <c r="M13" s="36" t="inlineStr">
        <is>
          <t>P</t>
        </is>
      </c>
      <c r="N13" s="36" t="inlineStr">
        <is>
          <t>P</t>
        </is>
      </c>
      <c r="O13" s="36" t="inlineStr">
        <is>
          <t>P</t>
        </is>
      </c>
      <c r="P13" s="37" t="inlineStr">
        <is>
          <t>WO</t>
        </is>
      </c>
      <c r="Q13" s="36" t="inlineStr">
        <is>
          <t>P</t>
        </is>
      </c>
      <c r="R13" s="36" t="inlineStr">
        <is>
          <t>P</t>
        </is>
      </c>
      <c r="S13" s="36" t="inlineStr">
        <is>
          <t>P</t>
        </is>
      </c>
      <c r="T13" s="36" t="inlineStr">
        <is>
          <t>P</t>
        </is>
      </c>
      <c r="U13" s="36" t="inlineStr">
        <is>
          <t>P</t>
        </is>
      </c>
      <c r="V13" s="36" t="inlineStr">
        <is>
          <t>P</t>
        </is>
      </c>
      <c r="W13" s="37" t="inlineStr">
        <is>
          <t>WO</t>
        </is>
      </c>
      <c r="X13" s="36" t="inlineStr">
        <is>
          <t>P</t>
        </is>
      </c>
      <c r="Y13" s="36" t="inlineStr">
        <is>
          <t>P</t>
        </is>
      </c>
      <c r="Z13" s="36" t="inlineStr">
        <is>
          <t>P</t>
        </is>
      </c>
      <c r="AA13" s="36" t="inlineStr">
        <is>
          <t>P</t>
        </is>
      </c>
      <c r="AB13" s="38" t="inlineStr">
        <is>
          <t>-</t>
        </is>
      </c>
      <c r="AC13" s="38" t="inlineStr">
        <is>
          <t>-</t>
        </is>
      </c>
      <c r="AD13" s="48" t="inlineStr">
        <is>
          <t>-</t>
        </is>
      </c>
      <c r="AE13" s="48" t="inlineStr">
        <is>
          <t>-</t>
        </is>
      </c>
      <c r="AF13" s="48" t="inlineStr">
        <is>
          <t>-</t>
        </is>
      </c>
      <c r="AG13" s="39">
        <f>COUNTIF(B13:AC13, "P")</f>
        <v/>
      </c>
      <c r="AH13" s="15">
        <f>COUNTIF(B13:AC13, "CL")</f>
        <v/>
      </c>
      <c r="AI13" s="16">
        <f>COUNTIF(B13:AC13, "L")</f>
        <v/>
      </c>
      <c r="AJ13" s="17">
        <f>COUNTIF(B13:AC13, "WO")</f>
        <v/>
      </c>
      <c r="AK13" s="14">
        <f>COUNTIF(B13:AC13, "HO")</f>
        <v/>
      </c>
      <c r="AL13" s="18">
        <f>COUNTIF(B13:AC13, "CF")</f>
        <v/>
      </c>
      <c r="AM13" s="19">
        <f>AG13+AH13+AI13+AL13</f>
        <v/>
      </c>
      <c r="AN13" s="20">
        <f>IF(AM13&gt;0, AG13/AM13, 0)</f>
        <v/>
      </c>
    </row>
    <row r="14" ht="32" customHeight="1">
      <c r="A14" s="40" t="inlineStr">
        <is>
          <t>MANI
Employee</t>
        </is>
      </c>
      <c r="B14" s="37" t="inlineStr">
        <is>
          <t>WO</t>
        </is>
      </c>
      <c r="C14" s="41" t="inlineStr">
        <is>
          <t>CL</t>
        </is>
      </c>
      <c r="D14" s="43" t="inlineStr">
        <is>
          <t>CF</t>
        </is>
      </c>
      <c r="E14" s="36" t="inlineStr">
        <is>
          <t>P</t>
        </is>
      </c>
      <c r="F14" s="36" t="inlineStr">
        <is>
          <t>P</t>
        </is>
      </c>
      <c r="G14" s="36" t="inlineStr">
        <is>
          <t>P</t>
        </is>
      </c>
      <c r="H14" s="36" t="inlineStr">
        <is>
          <t>P</t>
        </is>
      </c>
      <c r="I14" s="36" t="inlineStr">
        <is>
          <t>P</t>
        </is>
      </c>
      <c r="J14" s="36" t="inlineStr">
        <is>
          <t>P</t>
        </is>
      </c>
      <c r="K14" s="36" t="inlineStr">
        <is>
          <t>P</t>
        </is>
      </c>
      <c r="L14" s="36" t="inlineStr">
        <is>
          <t>P</t>
        </is>
      </c>
      <c r="M14" s="36" t="inlineStr">
        <is>
          <t>P</t>
        </is>
      </c>
      <c r="N14" s="36" t="inlineStr">
        <is>
          <t>P</t>
        </is>
      </c>
      <c r="O14" s="36" t="inlineStr">
        <is>
          <t>P</t>
        </is>
      </c>
      <c r="P14" s="37" t="inlineStr">
        <is>
          <t>WO</t>
        </is>
      </c>
      <c r="Q14" s="36" t="inlineStr">
        <is>
          <t>P</t>
        </is>
      </c>
      <c r="R14" s="36" t="inlineStr">
        <is>
          <t>P</t>
        </is>
      </c>
      <c r="S14" s="36" t="inlineStr">
        <is>
          <t>P</t>
        </is>
      </c>
      <c r="T14" s="36" t="inlineStr">
        <is>
          <t>P</t>
        </is>
      </c>
      <c r="U14" s="36" t="inlineStr">
        <is>
          <t>P</t>
        </is>
      </c>
      <c r="V14" s="36" t="inlineStr">
        <is>
          <t>P</t>
        </is>
      </c>
      <c r="W14" s="37" t="inlineStr">
        <is>
          <t>WO</t>
        </is>
      </c>
      <c r="X14" s="36" t="inlineStr">
        <is>
          <t>P</t>
        </is>
      </c>
      <c r="Y14" s="36" t="inlineStr">
        <is>
          <t>P</t>
        </is>
      </c>
      <c r="Z14" s="36" t="inlineStr">
        <is>
          <t>P</t>
        </is>
      </c>
      <c r="AA14" s="36" t="inlineStr">
        <is>
          <t>P</t>
        </is>
      </c>
      <c r="AB14" s="38" t="inlineStr">
        <is>
          <t>-</t>
        </is>
      </c>
      <c r="AC14" s="38" t="inlineStr">
        <is>
          <t>-</t>
        </is>
      </c>
      <c r="AD14" s="48" t="inlineStr">
        <is>
          <t>-</t>
        </is>
      </c>
      <c r="AE14" s="48" t="inlineStr">
        <is>
          <t>-</t>
        </is>
      </c>
      <c r="AF14" s="48" t="inlineStr">
        <is>
          <t>-</t>
        </is>
      </c>
      <c r="AG14" s="39">
        <f>COUNTIF(B14:AC14, "P")</f>
        <v/>
      </c>
      <c r="AH14" s="15">
        <f>COUNTIF(B14:AC14, "CL")</f>
        <v/>
      </c>
      <c r="AI14" s="16">
        <f>COUNTIF(B14:AC14, "L")</f>
        <v/>
      </c>
      <c r="AJ14" s="17">
        <f>COUNTIF(B14:AC14, "WO")</f>
        <v/>
      </c>
      <c r="AK14" s="14">
        <f>COUNTIF(B14:AC14, "HO")</f>
        <v/>
      </c>
      <c r="AL14" s="18">
        <f>COUNTIF(B14:AC14, "CF")</f>
        <v/>
      </c>
      <c r="AM14" s="19">
        <f>AG14+AH14+AI14+AL14</f>
        <v/>
      </c>
      <c r="AN14" s="20">
        <f>IF(AM14&gt;0, AG14/AM14, 0)</f>
        <v/>
      </c>
    </row>
    <row r="15" ht="32" customHeight="1">
      <c r="A15" s="35" t="inlineStr">
        <is>
          <t>RAMESH
Employee</t>
        </is>
      </c>
      <c r="B15" s="37" t="inlineStr">
        <is>
          <t>WO</t>
        </is>
      </c>
      <c r="C15" s="41" t="inlineStr">
        <is>
          <t>CL</t>
        </is>
      </c>
      <c r="D15" s="42" t="inlineStr">
        <is>
          <t>L</t>
        </is>
      </c>
      <c r="E15" s="36" t="inlineStr">
        <is>
          <t>P</t>
        </is>
      </c>
      <c r="F15" s="36" t="inlineStr">
        <is>
          <t>P</t>
        </is>
      </c>
      <c r="G15" s="36" t="inlineStr">
        <is>
          <t>P</t>
        </is>
      </c>
      <c r="H15" s="36" t="inlineStr">
        <is>
          <t>P</t>
        </is>
      </c>
      <c r="I15" s="37" t="inlineStr">
        <is>
          <t>WO</t>
        </is>
      </c>
      <c r="J15" s="36" t="inlineStr">
        <is>
          <t>P</t>
        </is>
      </c>
      <c r="K15" s="36" t="inlineStr">
        <is>
          <t>P</t>
        </is>
      </c>
      <c r="L15" s="36" t="inlineStr">
        <is>
          <t>P</t>
        </is>
      </c>
      <c r="M15" s="36" t="inlineStr">
        <is>
          <t>P</t>
        </is>
      </c>
      <c r="N15" s="36" t="inlineStr">
        <is>
          <t>P</t>
        </is>
      </c>
      <c r="O15" s="36" t="inlineStr">
        <is>
          <t>P</t>
        </is>
      </c>
      <c r="P15" s="37" t="inlineStr">
        <is>
          <t>WO</t>
        </is>
      </c>
      <c r="Q15" s="36" t="inlineStr">
        <is>
          <t>P</t>
        </is>
      </c>
      <c r="R15" s="36" t="inlineStr">
        <is>
          <t>P</t>
        </is>
      </c>
      <c r="S15" s="36" t="inlineStr">
        <is>
          <t>P</t>
        </is>
      </c>
      <c r="T15" s="36" t="inlineStr">
        <is>
          <t>P</t>
        </is>
      </c>
      <c r="U15" s="36" t="inlineStr">
        <is>
          <t>P</t>
        </is>
      </c>
      <c r="V15" s="36" t="inlineStr">
        <is>
          <t>P</t>
        </is>
      </c>
      <c r="W15" s="37" t="inlineStr">
        <is>
          <t>WO</t>
        </is>
      </c>
      <c r="X15" s="36" t="inlineStr">
        <is>
          <t>P</t>
        </is>
      </c>
      <c r="Y15" s="36" t="inlineStr">
        <is>
          <t>P</t>
        </is>
      </c>
      <c r="Z15" s="36" t="inlineStr">
        <is>
          <t>P</t>
        </is>
      </c>
      <c r="AA15" s="36" t="inlineStr">
        <is>
          <t>P</t>
        </is>
      </c>
      <c r="AB15" s="38" t="inlineStr">
        <is>
          <t>-</t>
        </is>
      </c>
      <c r="AC15" s="38" t="inlineStr">
        <is>
          <t>-</t>
        </is>
      </c>
      <c r="AD15" s="48" t="inlineStr">
        <is>
          <t>-</t>
        </is>
      </c>
      <c r="AE15" s="48" t="inlineStr">
        <is>
          <t>-</t>
        </is>
      </c>
      <c r="AF15" s="48" t="inlineStr">
        <is>
          <t>-</t>
        </is>
      </c>
      <c r="AG15" s="39">
        <f>COUNTIF(B15:AC15, "P")</f>
        <v/>
      </c>
      <c r="AH15" s="15">
        <f>COUNTIF(B15:AC15, "CL")</f>
        <v/>
      </c>
      <c r="AI15" s="16">
        <f>COUNTIF(B15:AC15, "L")</f>
        <v/>
      </c>
      <c r="AJ15" s="17">
        <f>COUNTIF(B15:AC15, "WO")</f>
        <v/>
      </c>
      <c r="AK15" s="14">
        <f>COUNTIF(B15:AC15, "HO")</f>
        <v/>
      </c>
      <c r="AL15" s="18">
        <f>COUNTIF(B15:AC15, "CF")</f>
        <v/>
      </c>
      <c r="AM15" s="19">
        <f>AG15+AH15+AI15+AL15</f>
        <v/>
      </c>
      <c r="AN15" s="20">
        <f>IF(AM15&gt;0, AG15/AM15, 0)</f>
        <v/>
      </c>
    </row>
    <row r="16" ht="32" customHeight="1">
      <c r="A16" s="40" t="inlineStr">
        <is>
          <t>VANI
Employee</t>
        </is>
      </c>
      <c r="B16" s="37" t="inlineStr">
        <is>
          <t>WO</t>
        </is>
      </c>
      <c r="C16" s="36" t="inlineStr">
        <is>
          <t>P</t>
        </is>
      </c>
      <c r="D16" s="36" t="inlineStr">
        <is>
          <t>P</t>
        </is>
      </c>
      <c r="E16" s="36" t="inlineStr">
        <is>
          <t>P</t>
        </is>
      </c>
      <c r="F16" s="36" t="inlineStr">
        <is>
          <t>P</t>
        </is>
      </c>
      <c r="G16" s="36" t="inlineStr">
        <is>
          <t>P</t>
        </is>
      </c>
      <c r="H16" s="36" t="inlineStr">
        <is>
          <t>P</t>
        </is>
      </c>
      <c r="I16" s="37" t="inlineStr">
        <is>
          <t>WO</t>
        </is>
      </c>
      <c r="J16" s="36" t="inlineStr">
        <is>
          <t>P</t>
        </is>
      </c>
      <c r="K16" s="36" t="inlineStr">
        <is>
          <t>P</t>
        </is>
      </c>
      <c r="L16" s="36" t="inlineStr">
        <is>
          <t>P</t>
        </is>
      </c>
      <c r="M16" s="36" t="inlineStr">
        <is>
          <t>P</t>
        </is>
      </c>
      <c r="N16" s="36" t="inlineStr">
        <is>
          <t>P</t>
        </is>
      </c>
      <c r="O16" s="36" t="inlineStr">
        <is>
          <t>P</t>
        </is>
      </c>
      <c r="P16" s="37" t="inlineStr">
        <is>
          <t>WO</t>
        </is>
      </c>
      <c r="Q16" s="41" t="inlineStr">
        <is>
          <t>CL</t>
        </is>
      </c>
      <c r="R16" s="43" t="inlineStr">
        <is>
          <t>CF</t>
        </is>
      </c>
      <c r="S16" s="42" t="inlineStr">
        <is>
          <t>L</t>
        </is>
      </c>
      <c r="T16" s="36" t="inlineStr">
        <is>
          <t>P</t>
        </is>
      </c>
      <c r="U16" s="36" t="inlineStr">
        <is>
          <t>P</t>
        </is>
      </c>
      <c r="V16" s="36" t="inlineStr">
        <is>
          <t>P</t>
        </is>
      </c>
      <c r="W16" s="36" t="inlineStr">
        <is>
          <t>P</t>
        </is>
      </c>
      <c r="X16" s="36" t="inlineStr">
        <is>
          <t>P</t>
        </is>
      </c>
      <c r="Y16" s="36" t="inlineStr">
        <is>
          <t>P</t>
        </is>
      </c>
      <c r="Z16" s="36" t="inlineStr">
        <is>
          <t>P</t>
        </is>
      </c>
      <c r="AA16" s="36" t="inlineStr">
        <is>
          <t>P</t>
        </is>
      </c>
      <c r="AB16" s="38" t="inlineStr">
        <is>
          <t>-</t>
        </is>
      </c>
      <c r="AC16" s="38" t="inlineStr">
        <is>
          <t>-</t>
        </is>
      </c>
      <c r="AD16" s="48" t="inlineStr">
        <is>
          <t>-</t>
        </is>
      </c>
      <c r="AE16" s="48" t="inlineStr">
        <is>
          <t>-</t>
        </is>
      </c>
      <c r="AF16" s="48" t="inlineStr">
        <is>
          <t>-</t>
        </is>
      </c>
      <c r="AG16" s="39">
        <f>COUNTIF(B16:AC16, "P")</f>
        <v/>
      </c>
      <c r="AH16" s="15">
        <f>COUNTIF(B16:AC16, "CL")</f>
        <v/>
      </c>
      <c r="AI16" s="16">
        <f>COUNTIF(B16:AC16, "L")</f>
        <v/>
      </c>
      <c r="AJ16" s="17">
        <f>COUNTIF(B16:AC16, "WO")</f>
        <v/>
      </c>
      <c r="AK16" s="14">
        <f>COUNTIF(B16:AC16, "HO")</f>
        <v/>
      </c>
      <c r="AL16" s="18">
        <f>COUNTIF(B16:AC16, "CF")</f>
        <v/>
      </c>
      <c r="AM16" s="19">
        <f>AG16+AH16+AI16+AL16</f>
        <v/>
      </c>
      <c r="AN16" s="20">
        <f>IF(AM16&gt;0, AG16/AM16, 0)</f>
        <v/>
      </c>
    </row>
    <row r="17" ht="32" customHeight="1">
      <c r="A17" s="35" t="inlineStr">
        <is>
          <t>NEELIMA
Employee</t>
        </is>
      </c>
      <c r="B17" s="37" t="inlineStr">
        <is>
          <t>WO</t>
        </is>
      </c>
      <c r="C17" s="36" t="inlineStr">
        <is>
          <t>P</t>
        </is>
      </c>
      <c r="D17" s="36" t="inlineStr">
        <is>
          <t>P</t>
        </is>
      </c>
      <c r="E17" s="36" t="inlineStr">
        <is>
          <t>P</t>
        </is>
      </c>
      <c r="F17" s="36" t="inlineStr">
        <is>
          <t>P</t>
        </is>
      </c>
      <c r="G17" s="36" t="inlineStr">
        <is>
          <t>P</t>
        </is>
      </c>
      <c r="H17" s="36" t="inlineStr">
        <is>
          <t>P</t>
        </is>
      </c>
      <c r="I17" s="37" t="inlineStr">
        <is>
          <t>WO</t>
        </is>
      </c>
      <c r="J17" s="36" t="inlineStr">
        <is>
          <t>P</t>
        </is>
      </c>
      <c r="K17" s="36" t="inlineStr">
        <is>
          <t>P</t>
        </is>
      </c>
      <c r="L17" s="36" t="inlineStr">
        <is>
          <t>P</t>
        </is>
      </c>
      <c r="M17" s="36" t="inlineStr">
        <is>
          <t>P</t>
        </is>
      </c>
      <c r="N17" s="36" t="inlineStr">
        <is>
          <t>P</t>
        </is>
      </c>
      <c r="O17" s="36" t="inlineStr">
        <is>
          <t>P</t>
        </is>
      </c>
      <c r="P17" s="37" t="inlineStr">
        <is>
          <t>WO</t>
        </is>
      </c>
      <c r="Q17" s="36" t="inlineStr">
        <is>
          <t>P</t>
        </is>
      </c>
      <c r="R17" s="36" t="inlineStr">
        <is>
          <t>P</t>
        </is>
      </c>
      <c r="S17" s="36" t="inlineStr">
        <is>
          <t>P</t>
        </is>
      </c>
      <c r="T17" s="36" t="inlineStr">
        <is>
          <t>P</t>
        </is>
      </c>
      <c r="U17" s="36" t="inlineStr">
        <is>
          <t>P</t>
        </is>
      </c>
      <c r="V17" s="36" t="inlineStr">
        <is>
          <t>P</t>
        </is>
      </c>
      <c r="W17" s="37" t="inlineStr">
        <is>
          <t>WO</t>
        </is>
      </c>
      <c r="X17" s="41" t="inlineStr">
        <is>
          <t>CL</t>
        </is>
      </c>
      <c r="Y17" s="43" t="inlineStr">
        <is>
          <t>CF</t>
        </is>
      </c>
      <c r="Z17" s="43" t="inlineStr">
        <is>
          <t>CF</t>
        </is>
      </c>
      <c r="AA17" s="36" t="inlineStr">
        <is>
          <t>P</t>
        </is>
      </c>
      <c r="AB17" s="38" t="inlineStr">
        <is>
          <t>-</t>
        </is>
      </c>
      <c r="AC17" s="38" t="inlineStr">
        <is>
          <t>-</t>
        </is>
      </c>
      <c r="AD17" s="48" t="inlineStr">
        <is>
          <t>-</t>
        </is>
      </c>
      <c r="AE17" s="48" t="inlineStr">
        <is>
          <t>-</t>
        </is>
      </c>
      <c r="AF17" s="48" t="inlineStr">
        <is>
          <t>-</t>
        </is>
      </c>
      <c r="AG17" s="39">
        <f>COUNTIF(B17:AC17, "P")</f>
        <v/>
      </c>
      <c r="AH17" s="15">
        <f>COUNTIF(B17:AC17, "CL")</f>
        <v/>
      </c>
      <c r="AI17" s="16">
        <f>COUNTIF(B17:AC17, "L")</f>
        <v/>
      </c>
      <c r="AJ17" s="17">
        <f>COUNTIF(B17:AC17, "WO")</f>
        <v/>
      </c>
      <c r="AK17" s="14">
        <f>COUNTIF(B17:AC17, "HO")</f>
        <v/>
      </c>
      <c r="AL17" s="18">
        <f>COUNTIF(B17:AC17, "CF")</f>
        <v/>
      </c>
      <c r="AM17" s="19">
        <f>AG17+AH17+AI17+AL17</f>
        <v/>
      </c>
      <c r="AN17" s="20">
        <f>IF(AM17&gt;0, AG17/AM17, 0)</f>
        <v/>
      </c>
    </row>
    <row r="18" ht="32" customHeight="1">
      <c r="A18" s="40" t="inlineStr">
        <is>
          <t>RAVALI
Employee</t>
        </is>
      </c>
      <c r="B18" s="37" t="inlineStr">
        <is>
          <t>WO</t>
        </is>
      </c>
      <c r="C18" s="36" t="inlineStr">
        <is>
          <t>P</t>
        </is>
      </c>
      <c r="D18" s="36" t="inlineStr">
        <is>
          <t>P</t>
        </is>
      </c>
      <c r="E18" s="36" t="inlineStr">
        <is>
          <t>P</t>
        </is>
      </c>
      <c r="F18" s="36" t="inlineStr">
        <is>
          <t>P</t>
        </is>
      </c>
      <c r="G18" s="36" t="inlineStr">
        <is>
          <t>P</t>
        </is>
      </c>
      <c r="H18" s="36" t="inlineStr">
        <is>
          <t>P</t>
        </is>
      </c>
      <c r="I18" s="37" t="inlineStr">
        <is>
          <t>WO</t>
        </is>
      </c>
      <c r="J18" s="36" t="inlineStr">
        <is>
          <t>P</t>
        </is>
      </c>
      <c r="K18" s="41" t="inlineStr">
        <is>
          <t>CL</t>
        </is>
      </c>
      <c r="L18" s="36" t="inlineStr">
        <is>
          <t>P</t>
        </is>
      </c>
      <c r="M18" s="42" t="inlineStr">
        <is>
          <t>L</t>
        </is>
      </c>
      <c r="N18" s="36" t="inlineStr">
        <is>
          <t>P</t>
        </is>
      </c>
      <c r="O18" s="36" t="inlineStr">
        <is>
          <t>P</t>
        </is>
      </c>
      <c r="P18" s="37" t="inlineStr">
        <is>
          <t>WO</t>
        </is>
      </c>
      <c r="Q18" s="36" t="inlineStr">
        <is>
          <t>P</t>
        </is>
      </c>
      <c r="R18" s="36" t="inlineStr">
        <is>
          <t>P</t>
        </is>
      </c>
      <c r="S18" s="36" t="inlineStr">
        <is>
          <t>P</t>
        </is>
      </c>
      <c r="T18" s="36" t="inlineStr">
        <is>
          <t>P</t>
        </is>
      </c>
      <c r="U18" s="36" t="inlineStr">
        <is>
          <t>P</t>
        </is>
      </c>
      <c r="V18" s="36" t="inlineStr">
        <is>
          <t>P</t>
        </is>
      </c>
      <c r="W18" s="37" t="inlineStr">
        <is>
          <t>WO</t>
        </is>
      </c>
      <c r="X18" s="36" t="inlineStr">
        <is>
          <t>P</t>
        </is>
      </c>
      <c r="Y18" s="42" t="inlineStr">
        <is>
          <t>L</t>
        </is>
      </c>
      <c r="Z18" s="36" t="inlineStr">
        <is>
          <t>P</t>
        </is>
      </c>
      <c r="AA18" s="36" t="inlineStr">
        <is>
          <t>P</t>
        </is>
      </c>
      <c r="AB18" s="42" t="inlineStr">
        <is>
          <t>L</t>
        </is>
      </c>
      <c r="AC18" s="38" t="inlineStr">
        <is>
          <t>-</t>
        </is>
      </c>
      <c r="AD18" s="48" t="inlineStr">
        <is>
          <t>-</t>
        </is>
      </c>
      <c r="AE18" s="48" t="inlineStr">
        <is>
          <t>-</t>
        </is>
      </c>
      <c r="AF18" s="48" t="inlineStr">
        <is>
          <t>-</t>
        </is>
      </c>
      <c r="AG18" s="39">
        <f>COUNTIF(B18:AC18, "P")</f>
        <v/>
      </c>
      <c r="AH18" s="15">
        <f>COUNTIF(B18:AC18, "CL")</f>
        <v/>
      </c>
      <c r="AI18" s="16">
        <f>COUNTIF(B18:AC18, "L")</f>
        <v/>
      </c>
      <c r="AJ18" s="17">
        <f>COUNTIF(B18:AC18, "WO")</f>
        <v/>
      </c>
      <c r="AK18" s="14">
        <f>COUNTIF(B18:AC18, "HO")</f>
        <v/>
      </c>
      <c r="AL18" s="18">
        <f>COUNTIF(B18:AC18, "CF")</f>
        <v/>
      </c>
      <c r="AM18" s="19">
        <f>AG18+AH18+AI18+AL18</f>
        <v/>
      </c>
      <c r="AN18" s="20">
        <f>IF(AM18&gt;0, AG18/AM18, 0)</f>
        <v/>
      </c>
    </row>
    <row r="19" ht="32" customHeight="1">
      <c r="A19" s="35" t="inlineStr">
        <is>
          <t>SAI CHARAN
Employee</t>
        </is>
      </c>
      <c r="B19" s="37" t="inlineStr">
        <is>
          <t>WO</t>
        </is>
      </c>
      <c r="C19" s="36" t="inlineStr">
        <is>
          <t>P</t>
        </is>
      </c>
      <c r="D19" s="36" t="inlineStr">
        <is>
          <t>P</t>
        </is>
      </c>
      <c r="E19" s="36" t="inlineStr">
        <is>
          <t>P</t>
        </is>
      </c>
      <c r="F19" s="36" t="inlineStr">
        <is>
          <t>P</t>
        </is>
      </c>
      <c r="G19" s="36" t="inlineStr">
        <is>
          <t>P</t>
        </is>
      </c>
      <c r="H19" s="36" t="inlineStr">
        <is>
          <t>P</t>
        </is>
      </c>
      <c r="I19" s="37" t="inlineStr">
        <is>
          <t>WO</t>
        </is>
      </c>
      <c r="J19" s="36" t="inlineStr">
        <is>
          <t>P</t>
        </is>
      </c>
      <c r="K19" s="36" t="inlineStr">
        <is>
          <t>P</t>
        </is>
      </c>
      <c r="L19" s="41" t="inlineStr">
        <is>
          <t>CL</t>
        </is>
      </c>
      <c r="M19" s="42" t="inlineStr">
        <is>
          <t>L</t>
        </is>
      </c>
      <c r="N19" s="42" t="inlineStr">
        <is>
          <t>L</t>
        </is>
      </c>
      <c r="O19" s="36" t="inlineStr">
        <is>
          <t>P</t>
        </is>
      </c>
      <c r="P19" s="37" t="inlineStr">
        <is>
          <t>WO</t>
        </is>
      </c>
      <c r="Q19" s="36" t="inlineStr">
        <is>
          <t>P</t>
        </is>
      </c>
      <c r="R19" s="36" t="inlineStr">
        <is>
          <t>P</t>
        </is>
      </c>
      <c r="S19" s="36" t="inlineStr">
        <is>
          <t>P</t>
        </is>
      </c>
      <c r="T19" s="36" t="inlineStr">
        <is>
          <t>P</t>
        </is>
      </c>
      <c r="U19" s="36" t="inlineStr">
        <is>
          <t>P</t>
        </is>
      </c>
      <c r="V19" s="36" t="inlineStr">
        <is>
          <t>P</t>
        </is>
      </c>
      <c r="W19" s="37" t="inlineStr">
        <is>
          <t>WO</t>
        </is>
      </c>
      <c r="X19" s="36" t="inlineStr">
        <is>
          <t>P</t>
        </is>
      </c>
      <c r="Y19" s="36" t="inlineStr">
        <is>
          <t>P</t>
        </is>
      </c>
      <c r="Z19" s="42" t="inlineStr">
        <is>
          <t>L</t>
        </is>
      </c>
      <c r="AA19" s="36" t="inlineStr">
        <is>
          <t>P</t>
        </is>
      </c>
      <c r="AB19" s="38" t="inlineStr">
        <is>
          <t>-</t>
        </is>
      </c>
      <c r="AC19" s="38" t="inlineStr">
        <is>
          <t>-</t>
        </is>
      </c>
      <c r="AD19" s="48" t="inlineStr">
        <is>
          <t>-</t>
        </is>
      </c>
      <c r="AE19" s="48" t="inlineStr">
        <is>
          <t>-</t>
        </is>
      </c>
      <c r="AF19" s="48" t="inlineStr">
        <is>
          <t>-</t>
        </is>
      </c>
      <c r="AG19" s="39">
        <f>COUNTIF(B19:AC19, "P")</f>
        <v/>
      </c>
      <c r="AH19" s="15">
        <f>COUNTIF(B19:AC19, "CL")</f>
        <v/>
      </c>
      <c r="AI19" s="16">
        <f>COUNTIF(B19:AC19, "L")</f>
        <v/>
      </c>
      <c r="AJ19" s="17">
        <f>COUNTIF(B19:AC19, "WO")</f>
        <v/>
      </c>
      <c r="AK19" s="14">
        <f>COUNTIF(B19:AC19, "HO")</f>
        <v/>
      </c>
      <c r="AL19" s="18">
        <f>COUNTIF(B19:AC19, "CF")</f>
        <v/>
      </c>
      <c r="AM19" s="19">
        <f>AG19+AH19+AI19+AL19</f>
        <v/>
      </c>
      <c r="AN19" s="20">
        <f>IF(AM19&gt;0, AG19/AM19, 0)</f>
        <v/>
      </c>
    </row>
    <row r="20" ht="32" customHeight="1">
      <c r="A20" s="40" t="inlineStr">
        <is>
          <t>PRAVEEN KUMAR
Employee</t>
        </is>
      </c>
      <c r="B20" s="37" t="inlineStr">
        <is>
          <t>WO</t>
        </is>
      </c>
      <c r="C20" s="36" t="inlineStr">
        <is>
          <t>P</t>
        </is>
      </c>
      <c r="D20" s="36" t="inlineStr">
        <is>
          <t>P</t>
        </is>
      </c>
      <c r="E20" s="36" t="inlineStr">
        <is>
          <t>P</t>
        </is>
      </c>
      <c r="F20" s="36" t="inlineStr">
        <is>
          <t>P</t>
        </is>
      </c>
      <c r="G20" s="42" t="inlineStr">
        <is>
          <t>L</t>
        </is>
      </c>
      <c r="H20" s="36" t="inlineStr">
        <is>
          <t>P</t>
        </is>
      </c>
      <c r="I20" s="37" t="inlineStr">
        <is>
          <t>WO</t>
        </is>
      </c>
      <c r="J20" s="36" t="inlineStr">
        <is>
          <t>P</t>
        </is>
      </c>
      <c r="K20" s="36" t="inlineStr">
        <is>
          <t>P</t>
        </is>
      </c>
      <c r="L20" s="42" t="inlineStr">
        <is>
          <t>L</t>
        </is>
      </c>
      <c r="M20" s="42" t="inlineStr">
        <is>
          <t>L</t>
        </is>
      </c>
      <c r="N20" s="36" t="inlineStr">
        <is>
          <t>P</t>
        </is>
      </c>
      <c r="O20" s="36" t="inlineStr">
        <is>
          <t>P</t>
        </is>
      </c>
      <c r="P20" s="37" t="inlineStr">
        <is>
          <t>WO</t>
        </is>
      </c>
      <c r="Q20" s="36" t="inlineStr">
        <is>
          <t>P</t>
        </is>
      </c>
      <c r="R20" s="42" t="inlineStr">
        <is>
          <t>L</t>
        </is>
      </c>
      <c r="S20" s="42" t="inlineStr">
        <is>
          <t>L</t>
        </is>
      </c>
      <c r="T20" s="36" t="inlineStr">
        <is>
          <t>P</t>
        </is>
      </c>
      <c r="U20" s="36" t="inlineStr">
        <is>
          <t>P</t>
        </is>
      </c>
      <c r="V20" s="36" t="inlineStr">
        <is>
          <t>P</t>
        </is>
      </c>
      <c r="W20" s="37" t="inlineStr">
        <is>
          <t>WO</t>
        </is>
      </c>
      <c r="X20" s="36" t="inlineStr">
        <is>
          <t>P</t>
        </is>
      </c>
      <c r="Y20" s="36" t="inlineStr">
        <is>
          <t>P</t>
        </is>
      </c>
      <c r="Z20" s="36" t="inlineStr">
        <is>
          <t>P</t>
        </is>
      </c>
      <c r="AA20" s="36" t="inlineStr">
        <is>
          <t>P</t>
        </is>
      </c>
      <c r="AB20" s="38" t="inlineStr">
        <is>
          <t>-</t>
        </is>
      </c>
      <c r="AC20" s="38" t="inlineStr">
        <is>
          <t>-</t>
        </is>
      </c>
      <c r="AD20" s="48" t="inlineStr">
        <is>
          <t>-</t>
        </is>
      </c>
      <c r="AE20" s="48" t="inlineStr">
        <is>
          <t>-</t>
        </is>
      </c>
      <c r="AF20" s="48" t="inlineStr">
        <is>
          <t>-</t>
        </is>
      </c>
      <c r="AG20" s="39">
        <f>COUNTIF(B20:AC20, "P")</f>
        <v/>
      </c>
      <c r="AH20" s="15">
        <f>COUNTIF(B20:AC20, "CL")</f>
        <v/>
      </c>
      <c r="AI20" s="16">
        <f>COUNTIF(B20:AC20, "L")</f>
        <v/>
      </c>
      <c r="AJ20" s="17">
        <f>COUNTIF(B20:AC20, "WO")</f>
        <v/>
      </c>
      <c r="AK20" s="14">
        <f>COUNTIF(B20:AC20, "HO")</f>
        <v/>
      </c>
      <c r="AL20" s="18">
        <f>COUNTIF(B20:AC20, "CF")</f>
        <v/>
      </c>
      <c r="AM20" s="19">
        <f>AG20+AH20+AI20+AL20</f>
        <v/>
      </c>
      <c r="AN20" s="20">
        <f>IF(AM20&gt;0, AG20/AM20, 0)</f>
        <v/>
      </c>
    </row>
    <row r="21" ht="32" customHeight="1">
      <c r="A21" s="35" t="inlineStr">
        <is>
          <t>CHANIKYA
Employee</t>
        </is>
      </c>
      <c r="B21" s="37" t="inlineStr">
        <is>
          <t>WO</t>
        </is>
      </c>
      <c r="C21" s="36" t="inlineStr">
        <is>
          <t>P</t>
        </is>
      </c>
      <c r="D21" s="36" t="inlineStr">
        <is>
          <t>P</t>
        </is>
      </c>
      <c r="E21" s="36" t="inlineStr">
        <is>
          <t>P</t>
        </is>
      </c>
      <c r="F21" s="36" t="inlineStr">
        <is>
          <t>P</t>
        </is>
      </c>
      <c r="G21" s="36" t="inlineStr">
        <is>
          <t>P</t>
        </is>
      </c>
      <c r="H21" s="36" t="inlineStr">
        <is>
          <t>P</t>
        </is>
      </c>
      <c r="I21" s="36" t="inlineStr">
        <is>
          <t>P</t>
        </is>
      </c>
      <c r="J21" s="36" t="inlineStr">
        <is>
          <t>P</t>
        </is>
      </c>
      <c r="K21" s="36" t="inlineStr">
        <is>
          <t>P</t>
        </is>
      </c>
      <c r="L21" s="36" t="inlineStr">
        <is>
          <t>P</t>
        </is>
      </c>
      <c r="M21" s="36" t="inlineStr">
        <is>
          <t>P</t>
        </is>
      </c>
      <c r="N21" s="36" t="inlineStr">
        <is>
          <t>P</t>
        </is>
      </c>
      <c r="O21" s="36" t="inlineStr">
        <is>
          <t>P</t>
        </is>
      </c>
      <c r="P21" s="36" t="inlineStr">
        <is>
          <t>P</t>
        </is>
      </c>
      <c r="Q21" s="41" t="inlineStr">
        <is>
          <t>CL</t>
        </is>
      </c>
      <c r="R21" s="36" t="inlineStr">
        <is>
          <t>P</t>
        </is>
      </c>
      <c r="S21" s="36" t="inlineStr">
        <is>
          <t>P</t>
        </is>
      </c>
      <c r="T21" s="36" t="inlineStr">
        <is>
          <t>P</t>
        </is>
      </c>
      <c r="U21" s="43" t="inlineStr">
        <is>
          <t>CF</t>
        </is>
      </c>
      <c r="V21" s="43" t="inlineStr">
        <is>
          <t>CF</t>
        </is>
      </c>
      <c r="W21" s="37" t="inlineStr">
        <is>
          <t>WO</t>
        </is>
      </c>
      <c r="X21" s="43" t="inlineStr">
        <is>
          <t>CF</t>
        </is>
      </c>
      <c r="Y21" s="43" t="inlineStr">
        <is>
          <t>CF</t>
        </is>
      </c>
      <c r="Z21" s="42" t="inlineStr">
        <is>
          <t>L</t>
        </is>
      </c>
      <c r="AA21" s="42" t="inlineStr">
        <is>
          <t>L</t>
        </is>
      </c>
      <c r="AB21" s="42" t="inlineStr">
        <is>
          <t>L</t>
        </is>
      </c>
      <c r="AC21" s="42" t="inlineStr">
        <is>
          <t>L</t>
        </is>
      </c>
      <c r="AD21" s="48" t="inlineStr">
        <is>
          <t>-</t>
        </is>
      </c>
      <c r="AE21" s="48" t="inlineStr">
        <is>
          <t>-</t>
        </is>
      </c>
      <c r="AF21" s="48" t="inlineStr">
        <is>
          <t>-</t>
        </is>
      </c>
      <c r="AG21" s="39">
        <f>COUNTIF(B21:AC21, "P")</f>
        <v/>
      </c>
      <c r="AH21" s="15">
        <f>COUNTIF(B21:AC21, "CL")</f>
        <v/>
      </c>
      <c r="AI21" s="16">
        <f>COUNTIF(B21:AC21, "L")</f>
        <v/>
      </c>
      <c r="AJ21" s="17">
        <f>COUNTIF(B21:AC21, "WO")</f>
        <v/>
      </c>
      <c r="AK21" s="14">
        <f>COUNTIF(B21:AC21, "HO")</f>
        <v/>
      </c>
      <c r="AL21" s="18">
        <f>COUNTIF(B21:AC21, "CF")</f>
        <v/>
      </c>
      <c r="AM21" s="19">
        <f>AG21+AH21+AI21+AL21</f>
        <v/>
      </c>
      <c r="AN21" s="20">
        <f>IF(AM21&gt;0, AG21/AM21, 0)</f>
        <v/>
      </c>
    </row>
    <row r="22" ht="32" customHeight="1">
      <c r="A22" s="40" t="inlineStr">
        <is>
          <t>PHANI
Employee</t>
        </is>
      </c>
      <c r="B22" s="43" t="inlineStr">
        <is>
          <t>CF</t>
        </is>
      </c>
      <c r="C22" s="43" t="inlineStr">
        <is>
          <t>CF</t>
        </is>
      </c>
      <c r="D22" s="43" t="inlineStr">
        <is>
          <t>CF</t>
        </is>
      </c>
      <c r="E22" s="37" t="inlineStr">
        <is>
          <t>WO</t>
        </is>
      </c>
      <c r="F22" s="36" t="inlineStr">
        <is>
          <t>P</t>
        </is>
      </c>
      <c r="G22" s="36" t="inlineStr">
        <is>
          <t>P</t>
        </is>
      </c>
      <c r="H22" s="36" t="inlineStr">
        <is>
          <t>P</t>
        </is>
      </c>
      <c r="I22" s="36" t="inlineStr">
        <is>
          <t>P</t>
        </is>
      </c>
      <c r="J22" s="36" t="inlineStr">
        <is>
          <t>P</t>
        </is>
      </c>
      <c r="K22" s="36" t="inlineStr">
        <is>
          <t>P</t>
        </is>
      </c>
      <c r="L22" s="37" t="inlineStr">
        <is>
          <t>WO</t>
        </is>
      </c>
      <c r="M22" s="36" t="inlineStr">
        <is>
          <t>P</t>
        </is>
      </c>
      <c r="N22" s="36" t="inlineStr">
        <is>
          <t>P</t>
        </is>
      </c>
      <c r="O22" s="36" t="inlineStr">
        <is>
          <t>P</t>
        </is>
      </c>
      <c r="P22" s="36" t="inlineStr">
        <is>
          <t>P</t>
        </is>
      </c>
      <c r="Q22" s="36" t="inlineStr">
        <is>
          <t>P</t>
        </is>
      </c>
      <c r="R22" s="36" t="inlineStr">
        <is>
          <t>P</t>
        </is>
      </c>
      <c r="S22" s="37" t="inlineStr">
        <is>
          <t>WO</t>
        </is>
      </c>
      <c r="T22" s="41" t="inlineStr">
        <is>
          <t>CL</t>
        </is>
      </c>
      <c r="U22" s="42" t="inlineStr">
        <is>
          <t>L</t>
        </is>
      </c>
      <c r="V22" s="42" t="inlineStr">
        <is>
          <t>L</t>
        </is>
      </c>
      <c r="W22" s="42" t="inlineStr">
        <is>
          <t>L</t>
        </is>
      </c>
      <c r="X22" s="42" t="inlineStr">
        <is>
          <t>L</t>
        </is>
      </c>
      <c r="Y22" s="42" t="inlineStr">
        <is>
          <t>L</t>
        </is>
      </c>
      <c r="Z22" s="37" t="inlineStr">
        <is>
          <t>WO</t>
        </is>
      </c>
      <c r="AA22" s="42" t="inlineStr">
        <is>
          <t>L</t>
        </is>
      </c>
      <c r="AB22" s="42" t="inlineStr">
        <is>
          <t>L</t>
        </is>
      </c>
      <c r="AC22" s="42" t="inlineStr">
        <is>
          <t>L</t>
        </is>
      </c>
      <c r="AD22" s="48" t="inlineStr">
        <is>
          <t>-</t>
        </is>
      </c>
      <c r="AE22" s="48" t="inlineStr">
        <is>
          <t>-</t>
        </is>
      </c>
      <c r="AF22" s="48" t="inlineStr">
        <is>
          <t>-</t>
        </is>
      </c>
      <c r="AG22" s="39">
        <f>COUNTIF(B22:AC22, "P")</f>
        <v/>
      </c>
      <c r="AH22" s="15">
        <f>COUNTIF(B22:AC22, "CL")</f>
        <v/>
      </c>
      <c r="AI22" s="16">
        <f>COUNTIF(B22:AC22, "L")</f>
        <v/>
      </c>
      <c r="AJ22" s="17">
        <f>COUNTIF(B22:AC22, "WO")</f>
        <v/>
      </c>
      <c r="AK22" s="14">
        <f>COUNTIF(B22:AC22, "HO")</f>
        <v/>
      </c>
      <c r="AL22" s="18">
        <f>COUNTIF(B22:AC22, "CF")</f>
        <v/>
      </c>
      <c r="AM22" s="19">
        <f>AG22+AH22+AI22+AL22</f>
        <v/>
      </c>
      <c r="AN22" s="20">
        <f>IF(AM22&gt;0, AG22/AM22, 0)</f>
        <v/>
      </c>
    </row>
    <row r="23" ht="32" customHeight="1">
      <c r="A23" s="35" t="inlineStr">
        <is>
          <t>SAI KUMAR
Employee</t>
        </is>
      </c>
      <c r="B23" s="38" t="inlineStr">
        <is>
          <t>-</t>
        </is>
      </c>
      <c r="C23" s="38" t="inlineStr">
        <is>
          <t>-</t>
        </is>
      </c>
      <c r="D23" s="38" t="inlineStr">
        <is>
          <t>-</t>
        </is>
      </c>
      <c r="E23" s="38" t="inlineStr">
        <is>
          <t>-</t>
        </is>
      </c>
      <c r="F23" s="38" t="inlineStr">
        <is>
          <t>-</t>
        </is>
      </c>
      <c r="G23" s="38" t="inlineStr">
        <is>
          <t>-</t>
        </is>
      </c>
      <c r="H23" s="38" t="inlineStr">
        <is>
          <t>-</t>
        </is>
      </c>
      <c r="I23" s="38" t="inlineStr">
        <is>
          <t>-</t>
        </is>
      </c>
      <c r="J23" s="38" t="inlineStr">
        <is>
          <t>-</t>
        </is>
      </c>
      <c r="K23" s="38" t="inlineStr">
        <is>
          <t>-</t>
        </is>
      </c>
      <c r="L23" s="38" t="inlineStr">
        <is>
          <t>-</t>
        </is>
      </c>
      <c r="M23" s="38" t="inlineStr">
        <is>
          <t>-</t>
        </is>
      </c>
      <c r="N23" s="38" t="inlineStr">
        <is>
          <t>-</t>
        </is>
      </c>
      <c r="O23" s="38" t="inlineStr">
        <is>
          <t>-</t>
        </is>
      </c>
      <c r="P23" s="38" t="inlineStr">
        <is>
          <t>-</t>
        </is>
      </c>
      <c r="Q23" s="38" t="inlineStr">
        <is>
          <t>-</t>
        </is>
      </c>
      <c r="R23" s="38" t="inlineStr">
        <is>
          <t>-</t>
        </is>
      </c>
      <c r="S23" s="38" t="inlineStr">
        <is>
          <t>-</t>
        </is>
      </c>
      <c r="T23" s="38" t="inlineStr">
        <is>
          <t>-</t>
        </is>
      </c>
      <c r="U23" s="38" t="inlineStr">
        <is>
          <t>-</t>
        </is>
      </c>
      <c r="V23" s="38" t="inlineStr">
        <is>
          <t>-</t>
        </is>
      </c>
      <c r="W23" s="38" t="inlineStr">
        <is>
          <t>-</t>
        </is>
      </c>
      <c r="X23" s="38" t="inlineStr">
        <is>
          <t>-</t>
        </is>
      </c>
      <c r="Y23" s="38" t="inlineStr">
        <is>
          <t>-</t>
        </is>
      </c>
      <c r="Z23" s="38" t="inlineStr">
        <is>
          <t>-</t>
        </is>
      </c>
      <c r="AA23" s="38" t="inlineStr">
        <is>
          <t>-</t>
        </is>
      </c>
      <c r="AB23" s="38" t="inlineStr">
        <is>
          <t>-</t>
        </is>
      </c>
      <c r="AC23" s="38" t="inlineStr">
        <is>
          <t>-</t>
        </is>
      </c>
      <c r="AD23" s="48" t="inlineStr">
        <is>
          <t>-</t>
        </is>
      </c>
      <c r="AE23" s="48" t="inlineStr">
        <is>
          <t>-</t>
        </is>
      </c>
      <c r="AF23" s="48" t="inlineStr">
        <is>
          <t>-</t>
        </is>
      </c>
      <c r="AG23" s="39">
        <f>COUNTIF(B23:AC23, "P")</f>
        <v/>
      </c>
      <c r="AH23" s="15">
        <f>COUNTIF(B23:AC23, "CL")</f>
        <v/>
      </c>
      <c r="AI23" s="16">
        <f>COUNTIF(B23:AC23, "L")</f>
        <v/>
      </c>
      <c r="AJ23" s="17">
        <f>COUNTIF(B23:AC23, "WO")</f>
        <v/>
      </c>
      <c r="AK23" s="14">
        <f>COUNTIF(B23:AC23, "HO")</f>
        <v/>
      </c>
      <c r="AL23" s="18">
        <f>COUNTIF(B23:AC23, "CF")</f>
        <v/>
      </c>
      <c r="AM23" s="19">
        <f>AG23+AH23+AI23+AL23</f>
        <v/>
      </c>
      <c r="AN23" s="20">
        <f>IF(AM23&gt;0, AG23/AM23, 0)</f>
        <v/>
      </c>
    </row>
    <row r="24" ht="32" customHeight="1">
      <c r="A24" s="40" t="inlineStr">
        <is>
          <t>VAIDEHI
Employee</t>
        </is>
      </c>
      <c r="B24" s="38" t="inlineStr">
        <is>
          <t>-</t>
        </is>
      </c>
      <c r="C24" s="38" t="inlineStr">
        <is>
          <t>-</t>
        </is>
      </c>
      <c r="D24" s="38" t="inlineStr">
        <is>
          <t>-</t>
        </is>
      </c>
      <c r="E24" s="38" t="inlineStr">
        <is>
          <t>-</t>
        </is>
      </c>
      <c r="F24" s="38" t="inlineStr">
        <is>
          <t>-</t>
        </is>
      </c>
      <c r="G24" s="38" t="inlineStr">
        <is>
          <t>-</t>
        </is>
      </c>
      <c r="H24" s="38" t="inlineStr">
        <is>
          <t>-</t>
        </is>
      </c>
      <c r="I24" s="38" t="inlineStr">
        <is>
          <t>-</t>
        </is>
      </c>
      <c r="J24" s="38" t="inlineStr">
        <is>
          <t>-</t>
        </is>
      </c>
      <c r="K24" s="38" t="inlineStr">
        <is>
          <t>-</t>
        </is>
      </c>
      <c r="L24" s="38" t="inlineStr">
        <is>
          <t>-</t>
        </is>
      </c>
      <c r="M24" s="38" t="inlineStr">
        <is>
          <t>-</t>
        </is>
      </c>
      <c r="N24" s="38" t="inlineStr">
        <is>
          <t>-</t>
        </is>
      </c>
      <c r="O24" s="38" t="inlineStr">
        <is>
          <t>-</t>
        </is>
      </c>
      <c r="P24" s="38" t="inlineStr">
        <is>
          <t>-</t>
        </is>
      </c>
      <c r="Q24" s="38" t="inlineStr">
        <is>
          <t>-</t>
        </is>
      </c>
      <c r="R24" s="38" t="inlineStr">
        <is>
          <t>-</t>
        </is>
      </c>
      <c r="S24" s="38" t="inlineStr">
        <is>
          <t>-</t>
        </is>
      </c>
      <c r="T24" s="38" t="inlineStr">
        <is>
          <t>-</t>
        </is>
      </c>
      <c r="U24" s="38" t="inlineStr">
        <is>
          <t>-</t>
        </is>
      </c>
      <c r="V24" s="38" t="inlineStr">
        <is>
          <t>-</t>
        </is>
      </c>
      <c r="W24" s="38" t="inlineStr">
        <is>
          <t>-</t>
        </is>
      </c>
      <c r="X24" s="38" t="inlineStr">
        <is>
          <t>-</t>
        </is>
      </c>
      <c r="Y24" s="38" t="inlineStr">
        <is>
          <t>-</t>
        </is>
      </c>
      <c r="Z24" s="38" t="inlineStr">
        <is>
          <t>-</t>
        </is>
      </c>
      <c r="AA24" s="38" t="inlineStr">
        <is>
          <t>-</t>
        </is>
      </c>
      <c r="AB24" s="38" t="inlineStr">
        <is>
          <t>-</t>
        </is>
      </c>
      <c r="AC24" s="38" t="inlineStr">
        <is>
          <t>-</t>
        </is>
      </c>
      <c r="AD24" s="48" t="inlineStr">
        <is>
          <t>-</t>
        </is>
      </c>
      <c r="AE24" s="48" t="inlineStr">
        <is>
          <t>-</t>
        </is>
      </c>
      <c r="AF24" s="48" t="inlineStr">
        <is>
          <t>-</t>
        </is>
      </c>
      <c r="AG24" s="39">
        <f>COUNTIF(B24:AC24, "P")</f>
        <v/>
      </c>
      <c r="AH24" s="15">
        <f>COUNTIF(B24:AC24, "CL")</f>
        <v/>
      </c>
      <c r="AI24" s="16">
        <f>COUNTIF(B24:AC24, "L")</f>
        <v/>
      </c>
      <c r="AJ24" s="17">
        <f>COUNTIF(B24:AC24, "WO")</f>
        <v/>
      </c>
      <c r="AK24" s="14">
        <f>COUNTIF(B24:AC24, "HO")</f>
        <v/>
      </c>
      <c r="AL24" s="18">
        <f>COUNTIF(B24:AC24, "CF")</f>
        <v/>
      </c>
      <c r="AM24" s="19">
        <f>AG24+AH24+AI24+AL24</f>
        <v/>
      </c>
      <c r="AN24" s="20">
        <f>IF(AM24&gt;0, AG24/AM24, 0)</f>
        <v/>
      </c>
    </row>
    <row r="25" ht="32" customHeight="1">
      <c r="A25" s="35" t="inlineStr">
        <is>
          <t>VAISHNAVI
Employee</t>
        </is>
      </c>
      <c r="B25" s="38" t="inlineStr">
        <is>
          <t>-</t>
        </is>
      </c>
      <c r="C25" s="38" t="inlineStr">
        <is>
          <t>-</t>
        </is>
      </c>
      <c r="D25" s="38" t="inlineStr">
        <is>
          <t>-</t>
        </is>
      </c>
      <c r="E25" s="38" t="inlineStr">
        <is>
          <t>-</t>
        </is>
      </c>
      <c r="F25" s="38" t="inlineStr">
        <is>
          <t>-</t>
        </is>
      </c>
      <c r="G25" s="38" t="inlineStr">
        <is>
          <t>-</t>
        </is>
      </c>
      <c r="H25" s="38" t="inlineStr">
        <is>
          <t>-</t>
        </is>
      </c>
      <c r="I25" s="38" t="inlineStr">
        <is>
          <t>-</t>
        </is>
      </c>
      <c r="J25" s="38" t="inlineStr">
        <is>
          <t>-</t>
        </is>
      </c>
      <c r="K25" s="38" t="inlineStr">
        <is>
          <t>-</t>
        </is>
      </c>
      <c r="L25" s="38" t="inlineStr">
        <is>
          <t>-</t>
        </is>
      </c>
      <c r="M25" s="38" t="inlineStr">
        <is>
          <t>-</t>
        </is>
      </c>
      <c r="N25" s="38" t="inlineStr">
        <is>
          <t>-</t>
        </is>
      </c>
      <c r="O25" s="38" t="inlineStr">
        <is>
          <t>-</t>
        </is>
      </c>
      <c r="P25" s="38" t="inlineStr">
        <is>
          <t>-</t>
        </is>
      </c>
      <c r="Q25" s="38" t="inlineStr">
        <is>
          <t>-</t>
        </is>
      </c>
      <c r="R25" s="38" t="inlineStr">
        <is>
          <t>-</t>
        </is>
      </c>
      <c r="S25" s="38" t="inlineStr">
        <is>
          <t>-</t>
        </is>
      </c>
      <c r="T25" s="38" t="inlineStr">
        <is>
          <t>-</t>
        </is>
      </c>
      <c r="U25" s="38" t="inlineStr">
        <is>
          <t>-</t>
        </is>
      </c>
      <c r="V25" s="38" t="inlineStr">
        <is>
          <t>-</t>
        </is>
      </c>
      <c r="W25" s="38" t="inlineStr">
        <is>
          <t>-</t>
        </is>
      </c>
      <c r="X25" s="38" t="inlineStr">
        <is>
          <t>-</t>
        </is>
      </c>
      <c r="Y25" s="38" t="inlineStr">
        <is>
          <t>-</t>
        </is>
      </c>
      <c r="Z25" s="38" t="inlineStr">
        <is>
          <t>-</t>
        </is>
      </c>
      <c r="AA25" s="38" t="inlineStr">
        <is>
          <t>-</t>
        </is>
      </c>
      <c r="AB25" s="38" t="inlineStr">
        <is>
          <t>-</t>
        </is>
      </c>
      <c r="AC25" s="38" t="inlineStr">
        <is>
          <t>-</t>
        </is>
      </c>
      <c r="AD25" s="48" t="inlineStr">
        <is>
          <t>-</t>
        </is>
      </c>
      <c r="AE25" s="48" t="inlineStr">
        <is>
          <t>-</t>
        </is>
      </c>
      <c r="AF25" s="48" t="inlineStr">
        <is>
          <t>-</t>
        </is>
      </c>
      <c r="AG25" s="39">
        <f>COUNTIF(B25:AC25, "P")</f>
        <v/>
      </c>
      <c r="AH25" s="15">
        <f>COUNTIF(B25:AC25, "CL")</f>
        <v/>
      </c>
      <c r="AI25" s="16">
        <f>COUNTIF(B25:AC25, "L")</f>
        <v/>
      </c>
      <c r="AJ25" s="17">
        <f>COUNTIF(B25:AC25, "WO")</f>
        <v/>
      </c>
      <c r="AK25" s="14">
        <f>COUNTIF(B25:AC25, "HO")</f>
        <v/>
      </c>
      <c r="AL25" s="18">
        <f>COUNTIF(B25:AC25, "CF")</f>
        <v/>
      </c>
      <c r="AM25" s="19">
        <f>AG25+AH25+AI25+AL25</f>
        <v/>
      </c>
      <c r="AN25" s="20">
        <f>IF(AM25&gt;0, AG25/AM25, 0)</f>
        <v/>
      </c>
    </row>
    <row r="26" ht="32" customHeight="1">
      <c r="A26" s="40" t="inlineStr">
        <is>
          <t>VITTAL
Employee</t>
        </is>
      </c>
      <c r="B26" s="38" t="inlineStr">
        <is>
          <t>-</t>
        </is>
      </c>
      <c r="C26" s="38" t="inlineStr">
        <is>
          <t>-</t>
        </is>
      </c>
      <c r="D26" s="38" t="inlineStr">
        <is>
          <t>-</t>
        </is>
      </c>
      <c r="E26" s="38" t="inlineStr">
        <is>
          <t>-</t>
        </is>
      </c>
      <c r="F26" s="38" t="inlineStr">
        <is>
          <t>-</t>
        </is>
      </c>
      <c r="G26" s="38" t="inlineStr">
        <is>
          <t>-</t>
        </is>
      </c>
      <c r="H26" s="38" t="inlineStr">
        <is>
          <t>-</t>
        </is>
      </c>
      <c r="I26" s="38" t="inlineStr">
        <is>
          <t>-</t>
        </is>
      </c>
      <c r="J26" s="38" t="inlineStr">
        <is>
          <t>-</t>
        </is>
      </c>
      <c r="K26" s="38" t="inlineStr">
        <is>
          <t>-</t>
        </is>
      </c>
      <c r="L26" s="38" t="inlineStr">
        <is>
          <t>-</t>
        </is>
      </c>
      <c r="M26" s="38" t="inlineStr">
        <is>
          <t>-</t>
        </is>
      </c>
      <c r="N26" s="38" t="inlineStr">
        <is>
          <t>-</t>
        </is>
      </c>
      <c r="O26" s="38" t="inlineStr">
        <is>
          <t>-</t>
        </is>
      </c>
      <c r="P26" s="38" t="inlineStr">
        <is>
          <t>-</t>
        </is>
      </c>
      <c r="Q26" s="38" t="inlineStr">
        <is>
          <t>-</t>
        </is>
      </c>
      <c r="R26" s="38" t="inlineStr">
        <is>
          <t>-</t>
        </is>
      </c>
      <c r="S26" s="38" t="inlineStr">
        <is>
          <t>-</t>
        </is>
      </c>
      <c r="T26" s="38" t="inlineStr">
        <is>
          <t>-</t>
        </is>
      </c>
      <c r="U26" s="38" t="inlineStr">
        <is>
          <t>-</t>
        </is>
      </c>
      <c r="V26" s="38" t="inlineStr">
        <is>
          <t>-</t>
        </is>
      </c>
      <c r="W26" s="38" t="inlineStr">
        <is>
          <t>-</t>
        </is>
      </c>
      <c r="X26" s="38" t="inlineStr">
        <is>
          <t>-</t>
        </is>
      </c>
      <c r="Y26" s="38" t="inlineStr">
        <is>
          <t>-</t>
        </is>
      </c>
      <c r="Z26" s="38" t="inlineStr">
        <is>
          <t>-</t>
        </is>
      </c>
      <c r="AA26" s="38" t="inlineStr">
        <is>
          <t>-</t>
        </is>
      </c>
      <c r="AB26" s="38" t="inlineStr">
        <is>
          <t>-</t>
        </is>
      </c>
      <c r="AC26" s="38" t="inlineStr">
        <is>
          <t>-</t>
        </is>
      </c>
      <c r="AD26" s="48" t="inlineStr">
        <is>
          <t>-</t>
        </is>
      </c>
      <c r="AE26" s="48" t="inlineStr">
        <is>
          <t>-</t>
        </is>
      </c>
      <c r="AF26" s="48" t="inlineStr">
        <is>
          <t>-</t>
        </is>
      </c>
      <c r="AG26" s="39">
        <f>COUNTIF(B26:AC26, "P")</f>
        <v/>
      </c>
      <c r="AH26" s="15">
        <f>COUNTIF(B26:AC26, "CL")</f>
        <v/>
      </c>
      <c r="AI26" s="16">
        <f>COUNTIF(B26:AC26, "L")</f>
        <v/>
      </c>
      <c r="AJ26" s="17">
        <f>COUNTIF(B26:AC26, "WO")</f>
        <v/>
      </c>
      <c r="AK26" s="14">
        <f>COUNTIF(B26:AC26, "HO")</f>
        <v/>
      </c>
      <c r="AL26" s="18">
        <f>COUNTIF(B26:AC26, "CF")</f>
        <v/>
      </c>
      <c r="AM26" s="19">
        <f>AG26+AH26+AI26+AL26</f>
        <v/>
      </c>
      <c r="AN26" s="20">
        <f>IF(AM26&gt;0, AG26/AM26, 0)</f>
        <v/>
      </c>
    </row>
    <row r="27" ht="30" customHeight="1">
      <c r="A27" s="44" t="inlineStr">
        <is>
          <t>Overall Staff Total / Daily Present</t>
        </is>
      </c>
      <c r="B27" s="45">
        <f>COUNTIF(B5:B26, "P")</f>
        <v/>
      </c>
      <c r="C27" s="45">
        <f>COUNTIF(C5:C26, "P")</f>
        <v/>
      </c>
      <c r="D27" s="45">
        <f>COUNTIF(D5:D26, "P")</f>
        <v/>
      </c>
      <c r="E27" s="45">
        <f>COUNTIF(E5:E26, "P")</f>
        <v/>
      </c>
      <c r="F27" s="45">
        <f>COUNTIF(F5:F26, "P")</f>
        <v/>
      </c>
      <c r="G27" s="45">
        <f>COUNTIF(G5:G26, "P")</f>
        <v/>
      </c>
      <c r="H27" s="45">
        <f>COUNTIF(H5:H26, "P")</f>
        <v/>
      </c>
      <c r="I27" s="45">
        <f>COUNTIF(I5:I26, "P")</f>
        <v/>
      </c>
      <c r="J27" s="45">
        <f>COUNTIF(J5:J26, "P")</f>
        <v/>
      </c>
      <c r="K27" s="45">
        <f>COUNTIF(K5:K26, "P")</f>
        <v/>
      </c>
      <c r="L27" s="45">
        <f>COUNTIF(L5:L26, "P")</f>
        <v/>
      </c>
      <c r="M27" s="45">
        <f>COUNTIF(M5:M26, "P")</f>
        <v/>
      </c>
      <c r="N27" s="45">
        <f>COUNTIF(N5:N26, "P")</f>
        <v/>
      </c>
      <c r="O27" s="45">
        <f>COUNTIF(O5:O26, "P")</f>
        <v/>
      </c>
      <c r="P27" s="45">
        <f>COUNTIF(P5:P26, "P")</f>
        <v/>
      </c>
      <c r="Q27" s="45">
        <f>COUNTIF(Q5:Q26, "P")</f>
        <v/>
      </c>
      <c r="R27" s="45">
        <f>COUNTIF(R5:R26, "P")</f>
        <v/>
      </c>
      <c r="S27" s="45">
        <f>COUNTIF(S5:S26, "P")</f>
        <v/>
      </c>
      <c r="T27" s="45">
        <f>COUNTIF(T5:T26, "P")</f>
        <v/>
      </c>
      <c r="U27" s="45">
        <f>COUNTIF(U5:U26, "P")</f>
        <v/>
      </c>
      <c r="V27" s="45">
        <f>COUNTIF(V5:V26, "P")</f>
        <v/>
      </c>
      <c r="W27" s="45">
        <f>COUNTIF(W5:W26, "P")</f>
        <v/>
      </c>
      <c r="X27" s="45">
        <f>COUNTIF(X5:X26, "P")</f>
        <v/>
      </c>
      <c r="Y27" s="45">
        <f>COUNTIF(Y5:Y26, "P")</f>
        <v/>
      </c>
      <c r="Z27" s="45">
        <f>COUNTIF(Z5:Z26, "P")</f>
        <v/>
      </c>
      <c r="AA27" s="45">
        <f>COUNTIF(AA5:AA26, "P")</f>
        <v/>
      </c>
      <c r="AB27" s="45">
        <f>COUNTIF(AB5:AB26, "P")</f>
        <v/>
      </c>
      <c r="AC27" s="45">
        <f>COUNTIF(AC5:AC26, "P")</f>
        <v/>
      </c>
      <c r="AD27" s="49" t="inlineStr">
        <is>
          <t>-</t>
        </is>
      </c>
      <c r="AE27" s="49" t="inlineStr">
        <is>
          <t>-</t>
        </is>
      </c>
      <c r="AF27" s="49" t="inlineStr">
        <is>
          <t>-</t>
        </is>
      </c>
      <c r="AG27" s="46">
        <f>SUM(AG5:AG26)</f>
        <v/>
      </c>
      <c r="AH27" s="46">
        <f>SUM(AH5:AH26)</f>
        <v/>
      </c>
      <c r="AI27" s="46">
        <f>SUM(AI5:AI26)</f>
        <v/>
      </c>
      <c r="AJ27" s="46">
        <f>SUM(AJ5:AJ26)</f>
        <v/>
      </c>
      <c r="AK27" s="46">
        <f>SUM(AK5:AK26)</f>
        <v/>
      </c>
      <c r="AL27" s="46">
        <f>SUM(AL5:AL26)</f>
        <v/>
      </c>
      <c r="AM27" s="46">
        <f>SUM(AM5:AM26)</f>
        <v/>
      </c>
      <c r="AN27" s="24">
        <f>IF(AM27&gt;0, AG27/AM27, 0)</f>
        <v/>
      </c>
    </row>
  </sheetData>
  <mergeCells count="2">
    <mergeCell ref="A2:AN2"/>
    <mergeCell ref="A1:A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2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11" customWidth="1" min="39" max="39"/>
    <col width="14" customWidth="1" min="40" max="40"/>
  </cols>
  <sheetData>
    <row r="1" ht="36" customHeight="1">
      <c r="A1" s="25" t="inlineStr">
        <is>
          <t>VASUS ATTENDANCE TRACKER — JANUARY 2026</t>
        </is>
      </c>
    </row>
    <row r="2" ht="24" customHeight="1">
      <c r="A2" s="2" t="inlineStr">
        <is>
          <t>Status Codes:  [P] Present (Green)  |  [CL] Casual Leave (Teal)  |  [L] Leave (Red)  |  [WO] Week Off (Purple)  |  [HO] Holiday (Mint)  |  [CF] Comp Off (Pink)  |  [-] Blank</t>
        </is>
      </c>
    </row>
    <row r="3" ht="10" customHeight="1"/>
    <row r="4" ht="36" customHeight="1">
      <c r="A4" s="26" t="inlineStr">
        <is>
          <t>Employee / Doctor</t>
        </is>
      </c>
      <c r="B4" s="27" t="inlineStr">
        <is>
          <t>1
Thu</t>
        </is>
      </c>
      <c r="C4" s="27" t="inlineStr">
        <is>
          <t>2
Fri</t>
        </is>
      </c>
      <c r="D4" s="27" t="inlineStr">
        <is>
          <t>3
Sat</t>
        </is>
      </c>
      <c r="E4" s="27" t="inlineStr">
        <is>
          <t>4
Sun</t>
        </is>
      </c>
      <c r="F4" s="27" t="inlineStr">
        <is>
          <t>5
Mon</t>
        </is>
      </c>
      <c r="G4" s="27" t="inlineStr">
        <is>
          <t>6
Tue</t>
        </is>
      </c>
      <c r="H4" s="27" t="inlineStr">
        <is>
          <t>7
Wed</t>
        </is>
      </c>
      <c r="I4" s="27" t="inlineStr">
        <is>
          <t>8
Thu</t>
        </is>
      </c>
      <c r="J4" s="27" t="inlineStr">
        <is>
          <t>9
Fri</t>
        </is>
      </c>
      <c r="K4" s="27" t="inlineStr">
        <is>
          <t>10
Sat</t>
        </is>
      </c>
      <c r="L4" s="27" t="inlineStr">
        <is>
          <t>11
Sun</t>
        </is>
      </c>
      <c r="M4" s="27" t="inlineStr">
        <is>
          <t>12
Mon</t>
        </is>
      </c>
      <c r="N4" s="27" t="inlineStr">
        <is>
          <t>13
Tue</t>
        </is>
      </c>
      <c r="O4" s="27" t="inlineStr">
        <is>
          <t>14
Wed</t>
        </is>
      </c>
      <c r="P4" s="27" t="inlineStr">
        <is>
          <t>15
Thu</t>
        </is>
      </c>
      <c r="Q4" s="27" t="inlineStr">
        <is>
          <t>16
Fri</t>
        </is>
      </c>
      <c r="R4" s="27" t="inlineStr">
        <is>
          <t>17
Sat</t>
        </is>
      </c>
      <c r="S4" s="27" t="inlineStr">
        <is>
          <t>18
Sun</t>
        </is>
      </c>
      <c r="T4" s="27" t="inlineStr">
        <is>
          <t>19
Mon</t>
        </is>
      </c>
      <c r="U4" s="27" t="inlineStr">
        <is>
          <t>20
Tue</t>
        </is>
      </c>
      <c r="V4" s="27" t="inlineStr">
        <is>
          <t>21
Wed</t>
        </is>
      </c>
      <c r="W4" s="27" t="inlineStr">
        <is>
          <t>22
Thu</t>
        </is>
      </c>
      <c r="X4" s="27" t="inlineStr">
        <is>
          <t>23
Fri</t>
        </is>
      </c>
      <c r="Y4" s="27" t="inlineStr">
        <is>
          <t>24
Sat</t>
        </is>
      </c>
      <c r="Z4" s="27" t="inlineStr">
        <is>
          <t>25
Sun</t>
        </is>
      </c>
      <c r="AA4" s="27" t="inlineStr">
        <is>
          <t>26
Mon</t>
        </is>
      </c>
      <c r="AB4" s="27" t="inlineStr">
        <is>
          <t>27
Tue</t>
        </is>
      </c>
      <c r="AC4" s="27" t="inlineStr">
        <is>
          <t>28
Wed</t>
        </is>
      </c>
      <c r="AD4" s="27" t="inlineStr">
        <is>
          <t>29
Thu</t>
        </is>
      </c>
      <c r="AE4" s="27" t="inlineStr">
        <is>
          <t>30
Fri</t>
        </is>
      </c>
      <c r="AF4" s="27" t="inlineStr">
        <is>
          <t>31
Sat</t>
        </is>
      </c>
      <c r="AG4" s="28" t="inlineStr">
        <is>
          <t>P</t>
        </is>
      </c>
      <c r="AH4" s="29" t="inlineStr">
        <is>
          <t>CL</t>
        </is>
      </c>
      <c r="AI4" s="30" t="inlineStr">
        <is>
          <t>L</t>
        </is>
      </c>
      <c r="AJ4" s="31" t="inlineStr">
        <is>
          <t>WO</t>
        </is>
      </c>
      <c r="AK4" s="32" t="inlineStr">
        <is>
          <t>HO</t>
        </is>
      </c>
      <c r="AL4" s="33" t="inlineStr">
        <is>
          <t>CF</t>
        </is>
      </c>
      <c r="AM4" s="27" t="inlineStr">
        <is>
          <t>Working
Days</t>
        </is>
      </c>
      <c r="AN4" s="34" t="inlineStr">
        <is>
          <t>Attendance
%</t>
        </is>
      </c>
    </row>
    <row r="5" ht="32" customHeight="1">
      <c r="A5" s="35" t="inlineStr">
        <is>
          <t>DR SUNITHA
Doctor</t>
        </is>
      </c>
      <c r="B5" s="36" t="inlineStr">
        <is>
          <t>P</t>
        </is>
      </c>
      <c r="C5" s="36" t="inlineStr">
        <is>
          <t>P</t>
        </is>
      </c>
      <c r="D5" s="36" t="inlineStr">
        <is>
          <t>P</t>
        </is>
      </c>
      <c r="E5" s="37" t="inlineStr">
        <is>
          <t>WO</t>
        </is>
      </c>
      <c r="F5" s="36" t="inlineStr">
        <is>
          <t>P</t>
        </is>
      </c>
      <c r="G5" s="36" t="inlineStr">
        <is>
          <t>P</t>
        </is>
      </c>
      <c r="H5" s="36" t="inlineStr">
        <is>
          <t>P</t>
        </is>
      </c>
      <c r="I5" s="36" t="inlineStr">
        <is>
          <t>P</t>
        </is>
      </c>
      <c r="J5" s="36" t="inlineStr">
        <is>
          <t>P</t>
        </is>
      </c>
      <c r="K5" s="36" t="inlineStr">
        <is>
          <t>P</t>
        </is>
      </c>
      <c r="L5" s="37" t="inlineStr">
        <is>
          <t>WO</t>
        </is>
      </c>
      <c r="M5" s="36" t="inlineStr">
        <is>
          <t>P</t>
        </is>
      </c>
      <c r="N5" s="36" t="inlineStr">
        <is>
          <t>P</t>
        </is>
      </c>
      <c r="O5" s="36" t="inlineStr">
        <is>
          <t>P</t>
        </is>
      </c>
      <c r="P5" s="36" t="inlineStr">
        <is>
          <t>P</t>
        </is>
      </c>
      <c r="Q5" s="36" t="inlineStr">
        <is>
          <t>P</t>
        </is>
      </c>
      <c r="R5" s="36" t="inlineStr">
        <is>
          <t>P</t>
        </is>
      </c>
      <c r="S5" s="37" t="inlineStr">
        <is>
          <t>WO</t>
        </is>
      </c>
      <c r="T5" s="36" t="inlineStr">
        <is>
          <t>P</t>
        </is>
      </c>
      <c r="U5" s="36" t="inlineStr">
        <is>
          <t>P</t>
        </is>
      </c>
      <c r="V5" s="36" t="inlineStr">
        <is>
          <t>P</t>
        </is>
      </c>
      <c r="W5" s="36" t="inlineStr">
        <is>
          <t>P</t>
        </is>
      </c>
      <c r="X5" s="36" t="inlineStr">
        <is>
          <t>P</t>
        </is>
      </c>
      <c r="Y5" s="36" t="inlineStr">
        <is>
          <t>P</t>
        </is>
      </c>
      <c r="Z5" s="37" t="inlineStr">
        <is>
          <t>WO</t>
        </is>
      </c>
      <c r="AA5" s="36" t="inlineStr">
        <is>
          <t>P</t>
        </is>
      </c>
      <c r="AB5" s="38" t="inlineStr">
        <is>
          <t>-</t>
        </is>
      </c>
      <c r="AC5" s="38" t="inlineStr">
        <is>
          <t>-</t>
        </is>
      </c>
      <c r="AD5" s="38" t="inlineStr">
        <is>
          <t>-</t>
        </is>
      </c>
      <c r="AE5" s="38" t="inlineStr">
        <is>
          <t>-</t>
        </is>
      </c>
      <c r="AF5" s="38" t="inlineStr">
        <is>
          <t>-</t>
        </is>
      </c>
      <c r="AG5" s="39">
        <f>COUNTIF(B5:AF5, "P")</f>
        <v/>
      </c>
      <c r="AH5" s="15">
        <f>COUNTIF(B5:AF5, "CL")</f>
        <v/>
      </c>
      <c r="AI5" s="16">
        <f>COUNTIF(B5:AF5, "L")</f>
        <v/>
      </c>
      <c r="AJ5" s="17">
        <f>COUNTIF(B5:AF5, "WO")</f>
        <v/>
      </c>
      <c r="AK5" s="14">
        <f>COUNTIF(B5:AF5, "HO")</f>
        <v/>
      </c>
      <c r="AL5" s="18">
        <f>COUNTIF(B5:AF5, "CF")</f>
        <v/>
      </c>
      <c r="AM5" s="19">
        <f>AG5+AH5+AI5+AL5</f>
        <v/>
      </c>
      <c r="AN5" s="20">
        <f>IF(AM5&gt;0, AG5/AM5, 0)</f>
        <v/>
      </c>
    </row>
    <row r="6" ht="32" customHeight="1">
      <c r="A6" s="40" t="inlineStr">
        <is>
          <t>DR CHINJU
Doctor</t>
        </is>
      </c>
      <c r="B6" s="36" t="inlineStr">
        <is>
          <t>P</t>
        </is>
      </c>
      <c r="C6" s="37" t="inlineStr">
        <is>
          <t>WO</t>
        </is>
      </c>
      <c r="D6" s="36" t="inlineStr">
        <is>
          <t>P</t>
        </is>
      </c>
      <c r="E6" s="36" t="inlineStr">
        <is>
          <t>P</t>
        </is>
      </c>
      <c r="F6" s="36" t="inlineStr">
        <is>
          <t>P</t>
        </is>
      </c>
      <c r="G6" s="36" t="inlineStr">
        <is>
          <t>P</t>
        </is>
      </c>
      <c r="H6" s="41" t="inlineStr">
        <is>
          <t>CL</t>
        </is>
      </c>
      <c r="I6" s="37" t="inlineStr">
        <is>
          <t>WO</t>
        </is>
      </c>
      <c r="J6" s="36" t="inlineStr">
        <is>
          <t>P</t>
        </is>
      </c>
      <c r="K6" s="36" t="inlineStr">
        <is>
          <t>P</t>
        </is>
      </c>
      <c r="L6" s="36" t="inlineStr">
        <is>
          <t>P</t>
        </is>
      </c>
      <c r="M6" s="36" t="inlineStr">
        <is>
          <t>P</t>
        </is>
      </c>
      <c r="N6" s="36" t="inlineStr">
        <is>
          <t>P</t>
        </is>
      </c>
      <c r="O6" s="36" t="inlineStr">
        <is>
          <t>P</t>
        </is>
      </c>
      <c r="P6" s="36" t="inlineStr">
        <is>
          <t>P</t>
        </is>
      </c>
      <c r="Q6" s="37" t="inlineStr">
        <is>
          <t>WO</t>
        </is>
      </c>
      <c r="R6" s="36" t="inlineStr">
        <is>
          <t>P</t>
        </is>
      </c>
      <c r="S6" s="36" t="inlineStr">
        <is>
          <t>P</t>
        </is>
      </c>
      <c r="T6" s="36" t="inlineStr">
        <is>
          <t>P</t>
        </is>
      </c>
      <c r="U6" s="36" t="inlineStr">
        <is>
          <t>P</t>
        </is>
      </c>
      <c r="V6" s="36" t="inlineStr">
        <is>
          <t>P</t>
        </is>
      </c>
      <c r="W6" s="36" t="inlineStr">
        <is>
          <t>P</t>
        </is>
      </c>
      <c r="X6" s="37" t="inlineStr">
        <is>
          <t>WO</t>
        </is>
      </c>
      <c r="Y6" s="36" t="inlineStr">
        <is>
          <t>P</t>
        </is>
      </c>
      <c r="Z6" s="36" t="inlineStr">
        <is>
          <t>P</t>
        </is>
      </c>
      <c r="AA6" s="36" t="inlineStr">
        <is>
          <t>P</t>
        </is>
      </c>
      <c r="AB6" s="38" t="inlineStr">
        <is>
          <t>-</t>
        </is>
      </c>
      <c r="AC6" s="38" t="inlineStr">
        <is>
          <t>-</t>
        </is>
      </c>
      <c r="AD6" s="38" t="inlineStr">
        <is>
          <t>-</t>
        </is>
      </c>
      <c r="AE6" s="37" t="inlineStr">
        <is>
          <t>WO</t>
        </is>
      </c>
      <c r="AF6" s="38" t="inlineStr">
        <is>
          <t>-</t>
        </is>
      </c>
      <c r="AG6" s="39">
        <f>COUNTIF(B6:AF6, "P")</f>
        <v/>
      </c>
      <c r="AH6" s="15">
        <f>COUNTIF(B6:AF6, "CL")</f>
        <v/>
      </c>
      <c r="AI6" s="16">
        <f>COUNTIF(B6:AF6, "L")</f>
        <v/>
      </c>
      <c r="AJ6" s="17">
        <f>COUNTIF(B6:AF6, "WO")</f>
        <v/>
      </c>
      <c r="AK6" s="14">
        <f>COUNTIF(B6:AF6, "HO")</f>
        <v/>
      </c>
      <c r="AL6" s="18">
        <f>COUNTIF(B6:AF6, "CF")</f>
        <v/>
      </c>
      <c r="AM6" s="19">
        <f>AG6+AH6+AI6+AL6</f>
        <v/>
      </c>
      <c r="AN6" s="20">
        <f>IF(AM6&gt;0, AG6/AM6, 0)</f>
        <v/>
      </c>
    </row>
    <row r="7" ht="32" customHeight="1">
      <c r="A7" s="35" t="inlineStr">
        <is>
          <t>DR PRANAY
Doctor</t>
        </is>
      </c>
      <c r="B7" s="41" t="inlineStr">
        <is>
          <t>CL</t>
        </is>
      </c>
      <c r="C7" s="36" t="inlineStr">
        <is>
          <t>P</t>
        </is>
      </c>
      <c r="D7" s="36" t="inlineStr">
        <is>
          <t>P</t>
        </is>
      </c>
      <c r="E7" s="37" t="inlineStr">
        <is>
          <t>WO</t>
        </is>
      </c>
      <c r="F7" s="36" t="inlineStr">
        <is>
          <t>P</t>
        </is>
      </c>
      <c r="G7" s="36" t="inlineStr">
        <is>
          <t>P</t>
        </is>
      </c>
      <c r="H7" s="36" t="inlineStr">
        <is>
          <t>P</t>
        </is>
      </c>
      <c r="I7" s="36" t="inlineStr">
        <is>
          <t>P</t>
        </is>
      </c>
      <c r="J7" s="36" t="inlineStr">
        <is>
          <t>P</t>
        </is>
      </c>
      <c r="K7" s="36" t="inlineStr">
        <is>
          <t>P</t>
        </is>
      </c>
      <c r="L7" s="37" t="inlineStr">
        <is>
          <t>WO</t>
        </is>
      </c>
      <c r="M7" s="36" t="inlineStr">
        <is>
          <t>P</t>
        </is>
      </c>
      <c r="N7" s="36" t="inlineStr">
        <is>
          <t>P</t>
        </is>
      </c>
      <c r="O7" s="36" t="inlineStr">
        <is>
          <t>P</t>
        </is>
      </c>
      <c r="P7" s="36" t="inlineStr">
        <is>
          <t>P</t>
        </is>
      </c>
      <c r="Q7" s="36" t="inlineStr">
        <is>
          <t>P</t>
        </is>
      </c>
      <c r="R7" s="36" t="inlineStr">
        <is>
          <t>P</t>
        </is>
      </c>
      <c r="S7" s="37" t="inlineStr">
        <is>
          <t>WO</t>
        </is>
      </c>
      <c r="T7" s="36" t="inlineStr">
        <is>
          <t>P</t>
        </is>
      </c>
      <c r="U7" s="36" t="inlineStr">
        <is>
          <t>P</t>
        </is>
      </c>
      <c r="V7" s="36" t="inlineStr">
        <is>
          <t>P</t>
        </is>
      </c>
      <c r="W7" s="36" t="inlineStr">
        <is>
          <t>P</t>
        </is>
      </c>
      <c r="X7" s="36" t="inlineStr">
        <is>
          <t>P</t>
        </is>
      </c>
      <c r="Y7" s="36" t="inlineStr">
        <is>
          <t>P</t>
        </is>
      </c>
      <c r="Z7" s="37" t="inlineStr">
        <is>
          <t>WO</t>
        </is>
      </c>
      <c r="AA7" s="36" t="inlineStr">
        <is>
          <t>P</t>
        </is>
      </c>
      <c r="AB7" s="38" t="inlineStr">
        <is>
          <t>-</t>
        </is>
      </c>
      <c r="AC7" s="38" t="inlineStr">
        <is>
          <t>-</t>
        </is>
      </c>
      <c r="AD7" s="38" t="inlineStr">
        <is>
          <t>-</t>
        </is>
      </c>
      <c r="AE7" s="38" t="inlineStr">
        <is>
          <t>-</t>
        </is>
      </c>
      <c r="AF7" s="38" t="inlineStr">
        <is>
          <t>-</t>
        </is>
      </c>
      <c r="AG7" s="39">
        <f>COUNTIF(B7:AF7, "P")</f>
        <v/>
      </c>
      <c r="AH7" s="15">
        <f>COUNTIF(B7:AF7, "CL")</f>
        <v/>
      </c>
      <c r="AI7" s="16">
        <f>COUNTIF(B7:AF7, "L")</f>
        <v/>
      </c>
      <c r="AJ7" s="17">
        <f>COUNTIF(B7:AF7, "WO")</f>
        <v/>
      </c>
      <c r="AK7" s="14">
        <f>COUNTIF(B7:AF7, "HO")</f>
        <v/>
      </c>
      <c r="AL7" s="18">
        <f>COUNTIF(B7:AF7, "CF")</f>
        <v/>
      </c>
      <c r="AM7" s="19">
        <f>AG7+AH7+AI7+AL7</f>
        <v/>
      </c>
      <c r="AN7" s="20">
        <f>IF(AM7&gt;0, AG7/AM7, 0)</f>
        <v/>
      </c>
    </row>
    <row r="8" ht="32" customHeight="1">
      <c r="A8" s="40" t="inlineStr">
        <is>
          <t>DR BINDU
Doctor</t>
        </is>
      </c>
      <c r="B8" s="36" t="inlineStr">
        <is>
          <t>P</t>
        </is>
      </c>
      <c r="C8" s="36" t="inlineStr">
        <is>
          <t>P</t>
        </is>
      </c>
      <c r="D8" s="36" t="inlineStr">
        <is>
          <t>P</t>
        </is>
      </c>
      <c r="E8" s="37" t="inlineStr">
        <is>
          <t>WO</t>
        </is>
      </c>
      <c r="F8" s="36" t="inlineStr">
        <is>
          <t>P</t>
        </is>
      </c>
      <c r="G8" s="36" t="inlineStr">
        <is>
          <t>P</t>
        </is>
      </c>
      <c r="H8" s="36" t="inlineStr">
        <is>
          <t>P</t>
        </is>
      </c>
      <c r="I8" s="41" t="inlineStr">
        <is>
          <t>CL</t>
        </is>
      </c>
      <c r="J8" s="36" t="inlineStr">
        <is>
          <t>P</t>
        </is>
      </c>
      <c r="K8" s="36" t="inlineStr">
        <is>
          <t>P</t>
        </is>
      </c>
      <c r="L8" s="37" t="inlineStr">
        <is>
          <t>WO</t>
        </is>
      </c>
      <c r="M8" s="36" t="inlineStr">
        <is>
          <t>P</t>
        </is>
      </c>
      <c r="N8" s="36" t="inlineStr">
        <is>
          <t>P</t>
        </is>
      </c>
      <c r="O8" s="36" t="inlineStr">
        <is>
          <t>P</t>
        </is>
      </c>
      <c r="P8" s="50" t="inlineStr">
        <is>
          <t>HO</t>
        </is>
      </c>
      <c r="Q8" s="36" t="inlineStr">
        <is>
          <t>P</t>
        </is>
      </c>
      <c r="R8" s="36" t="inlineStr">
        <is>
          <t>P</t>
        </is>
      </c>
      <c r="S8" s="37" t="inlineStr">
        <is>
          <t>WO</t>
        </is>
      </c>
      <c r="T8" s="36" t="inlineStr">
        <is>
          <t>P</t>
        </is>
      </c>
      <c r="U8" s="36" t="inlineStr">
        <is>
          <t>P</t>
        </is>
      </c>
      <c r="V8" s="36" t="inlineStr">
        <is>
          <t>P</t>
        </is>
      </c>
      <c r="W8" s="36" t="inlineStr">
        <is>
          <t>P</t>
        </is>
      </c>
      <c r="X8" s="36" t="inlineStr">
        <is>
          <t>P</t>
        </is>
      </c>
      <c r="Y8" s="36" t="inlineStr">
        <is>
          <t>P</t>
        </is>
      </c>
      <c r="Z8" s="37" t="inlineStr">
        <is>
          <t>WO</t>
        </is>
      </c>
      <c r="AA8" s="36" t="inlineStr">
        <is>
          <t>P</t>
        </is>
      </c>
      <c r="AB8" s="38" t="inlineStr">
        <is>
          <t>-</t>
        </is>
      </c>
      <c r="AC8" s="38" t="inlineStr">
        <is>
          <t>-</t>
        </is>
      </c>
      <c r="AD8" s="38" t="inlineStr">
        <is>
          <t>-</t>
        </is>
      </c>
      <c r="AE8" s="38" t="inlineStr">
        <is>
          <t>-</t>
        </is>
      </c>
      <c r="AF8" s="38" t="inlineStr">
        <is>
          <t>-</t>
        </is>
      </c>
      <c r="AG8" s="39">
        <f>COUNTIF(B8:AF8, "P")</f>
        <v/>
      </c>
      <c r="AH8" s="15">
        <f>COUNTIF(B8:AF8, "CL")</f>
        <v/>
      </c>
      <c r="AI8" s="16">
        <f>COUNTIF(B8:AF8, "L")</f>
        <v/>
      </c>
      <c r="AJ8" s="17">
        <f>COUNTIF(B8:AF8, "WO")</f>
        <v/>
      </c>
      <c r="AK8" s="14">
        <f>COUNTIF(B8:AF8, "HO")</f>
        <v/>
      </c>
      <c r="AL8" s="18">
        <f>COUNTIF(B8:AF8, "CF")</f>
        <v/>
      </c>
      <c r="AM8" s="19">
        <f>AG8+AH8+AI8+AL8</f>
        <v/>
      </c>
      <c r="AN8" s="20">
        <f>IF(AM8&gt;0, AG8/AM8, 0)</f>
        <v/>
      </c>
    </row>
    <row r="9" ht="32" customHeight="1">
      <c r="A9" s="35" t="inlineStr">
        <is>
          <t>DR VARUN
Doctor</t>
        </is>
      </c>
      <c r="B9" s="38" t="inlineStr">
        <is>
          <t>-</t>
        </is>
      </c>
      <c r="C9" s="38" t="inlineStr">
        <is>
          <t>-</t>
        </is>
      </c>
      <c r="D9" s="38" t="inlineStr">
        <is>
          <t>-</t>
        </is>
      </c>
      <c r="E9" s="38" t="inlineStr">
        <is>
          <t>-</t>
        </is>
      </c>
      <c r="F9" s="38" t="inlineStr">
        <is>
          <t>-</t>
        </is>
      </c>
      <c r="G9" s="38" t="inlineStr">
        <is>
          <t>-</t>
        </is>
      </c>
      <c r="H9" s="38" t="inlineStr">
        <is>
          <t>-</t>
        </is>
      </c>
      <c r="I9" s="38" t="inlineStr">
        <is>
          <t>-</t>
        </is>
      </c>
      <c r="J9" s="38" t="inlineStr">
        <is>
          <t>-</t>
        </is>
      </c>
      <c r="K9" s="38" t="inlineStr">
        <is>
          <t>-</t>
        </is>
      </c>
      <c r="L9" s="38" t="inlineStr">
        <is>
          <t>-</t>
        </is>
      </c>
      <c r="M9" s="38" t="inlineStr">
        <is>
          <t>-</t>
        </is>
      </c>
      <c r="N9" s="38" t="inlineStr">
        <is>
          <t>-</t>
        </is>
      </c>
      <c r="O9" s="38" t="inlineStr">
        <is>
          <t>-</t>
        </is>
      </c>
      <c r="P9" s="38" t="inlineStr">
        <is>
          <t>-</t>
        </is>
      </c>
      <c r="Q9" s="38" t="inlineStr">
        <is>
          <t>-</t>
        </is>
      </c>
      <c r="R9" s="38" t="inlineStr">
        <is>
          <t>-</t>
        </is>
      </c>
      <c r="S9" s="38" t="inlineStr">
        <is>
          <t>-</t>
        </is>
      </c>
      <c r="T9" s="38" t="inlineStr">
        <is>
          <t>-</t>
        </is>
      </c>
      <c r="U9" s="38" t="inlineStr">
        <is>
          <t>-</t>
        </is>
      </c>
      <c r="V9" s="38" t="inlineStr">
        <is>
          <t>-</t>
        </is>
      </c>
      <c r="W9" s="38" t="inlineStr">
        <is>
          <t>-</t>
        </is>
      </c>
      <c r="X9" s="38" t="inlineStr">
        <is>
          <t>-</t>
        </is>
      </c>
      <c r="Y9" s="38" t="inlineStr">
        <is>
          <t>-</t>
        </is>
      </c>
      <c r="Z9" s="38" t="inlineStr">
        <is>
          <t>-</t>
        </is>
      </c>
      <c r="AA9" s="38" t="inlineStr">
        <is>
          <t>-</t>
        </is>
      </c>
      <c r="AB9" s="38" t="inlineStr">
        <is>
          <t>-</t>
        </is>
      </c>
      <c r="AC9" s="38" t="inlineStr">
        <is>
          <t>-</t>
        </is>
      </c>
      <c r="AD9" s="38" t="inlineStr">
        <is>
          <t>-</t>
        </is>
      </c>
      <c r="AE9" s="38" t="inlineStr">
        <is>
          <t>-</t>
        </is>
      </c>
      <c r="AF9" s="38" t="inlineStr">
        <is>
          <t>-</t>
        </is>
      </c>
      <c r="AG9" s="39">
        <f>COUNTIF(B9:AF9, "P")</f>
        <v/>
      </c>
      <c r="AH9" s="15">
        <f>COUNTIF(B9:AF9, "CL")</f>
        <v/>
      </c>
      <c r="AI9" s="16">
        <f>COUNTIF(B9:AF9, "L")</f>
        <v/>
      </c>
      <c r="AJ9" s="17">
        <f>COUNTIF(B9:AF9, "WO")</f>
        <v/>
      </c>
      <c r="AK9" s="14">
        <f>COUNTIF(B9:AF9, "HO")</f>
        <v/>
      </c>
      <c r="AL9" s="18">
        <f>COUNTIF(B9:AF9, "CF")</f>
        <v/>
      </c>
      <c r="AM9" s="19">
        <f>AG9+AH9+AI9+AL9</f>
        <v/>
      </c>
      <c r="AN9" s="20">
        <f>IF(AM9&gt;0, AG9/AM9, 0)</f>
        <v/>
      </c>
    </row>
    <row r="10" ht="32" customHeight="1">
      <c r="A10" s="40" t="inlineStr">
        <is>
          <t>CHANIKYA
Employee</t>
        </is>
      </c>
      <c r="B10" s="36" t="inlineStr">
        <is>
          <t>P</t>
        </is>
      </c>
      <c r="C10" s="36" t="inlineStr">
        <is>
          <t>P</t>
        </is>
      </c>
      <c r="D10" s="36" t="inlineStr">
        <is>
          <t>P</t>
        </is>
      </c>
      <c r="E10" s="36" t="inlineStr">
        <is>
          <t>P</t>
        </is>
      </c>
      <c r="F10" s="36" t="inlineStr">
        <is>
          <t>P</t>
        </is>
      </c>
      <c r="G10" s="36" t="inlineStr">
        <is>
          <t>P</t>
        </is>
      </c>
      <c r="H10" s="36" t="inlineStr">
        <is>
          <t>P</t>
        </is>
      </c>
      <c r="I10" s="36" t="inlineStr">
        <is>
          <t>P</t>
        </is>
      </c>
      <c r="J10" s="36" t="inlineStr">
        <is>
          <t>P</t>
        </is>
      </c>
      <c r="K10" s="36" t="inlineStr">
        <is>
          <t>P</t>
        </is>
      </c>
      <c r="L10" s="36" t="inlineStr">
        <is>
          <t>P</t>
        </is>
      </c>
      <c r="M10" s="36" t="inlineStr">
        <is>
          <t>P</t>
        </is>
      </c>
      <c r="N10" s="36" t="inlineStr">
        <is>
          <t>P</t>
        </is>
      </c>
      <c r="O10" s="36" t="inlineStr">
        <is>
          <t>P</t>
        </is>
      </c>
      <c r="P10" s="50" t="inlineStr">
        <is>
          <t>HO</t>
        </is>
      </c>
      <c r="Q10" s="36" t="inlineStr">
        <is>
          <t>P</t>
        </is>
      </c>
      <c r="R10" s="36" t="inlineStr">
        <is>
          <t>P</t>
        </is>
      </c>
      <c r="S10" s="37" t="inlineStr">
        <is>
          <t>WO</t>
        </is>
      </c>
      <c r="T10" s="36" t="inlineStr">
        <is>
          <t>P</t>
        </is>
      </c>
      <c r="U10" s="36" t="inlineStr">
        <is>
          <t>P</t>
        </is>
      </c>
      <c r="V10" s="36" t="inlineStr">
        <is>
          <t>P</t>
        </is>
      </c>
      <c r="W10" s="36" t="inlineStr">
        <is>
          <t>P</t>
        </is>
      </c>
      <c r="X10" s="36" t="inlineStr">
        <is>
          <t>P</t>
        </is>
      </c>
      <c r="Y10" s="36" t="inlineStr">
        <is>
          <t>P</t>
        </is>
      </c>
      <c r="Z10" s="37" t="inlineStr">
        <is>
          <t>WO</t>
        </is>
      </c>
      <c r="AA10" s="36" t="inlineStr">
        <is>
          <t>P</t>
        </is>
      </c>
      <c r="AB10" s="38" t="inlineStr">
        <is>
          <t>-</t>
        </is>
      </c>
      <c r="AC10" s="38" t="inlineStr">
        <is>
          <t>-</t>
        </is>
      </c>
      <c r="AD10" s="38" t="inlineStr">
        <is>
          <t>-</t>
        </is>
      </c>
      <c r="AE10" s="38" t="inlineStr">
        <is>
          <t>-</t>
        </is>
      </c>
      <c r="AF10" s="38" t="inlineStr">
        <is>
          <t>-</t>
        </is>
      </c>
      <c r="AG10" s="39">
        <f>COUNTIF(B10:AF10, "P")</f>
        <v/>
      </c>
      <c r="AH10" s="15">
        <f>COUNTIF(B10:AF10, "CL")</f>
        <v/>
      </c>
      <c r="AI10" s="16">
        <f>COUNTIF(B10:AF10, "L")</f>
        <v/>
      </c>
      <c r="AJ10" s="17">
        <f>COUNTIF(B10:AF10, "WO")</f>
        <v/>
      </c>
      <c r="AK10" s="14">
        <f>COUNTIF(B10:AF10, "HO")</f>
        <v/>
      </c>
      <c r="AL10" s="18">
        <f>COUNTIF(B10:AF10, "CF")</f>
        <v/>
      </c>
      <c r="AM10" s="19">
        <f>AG10+AH10+AI10+AL10</f>
        <v/>
      </c>
      <c r="AN10" s="20">
        <f>IF(AM10&gt;0, AG10/AM10, 0)</f>
        <v/>
      </c>
    </row>
    <row r="11" ht="32" customHeight="1">
      <c r="A11" s="35" t="inlineStr">
        <is>
          <t>VANI
Employee</t>
        </is>
      </c>
      <c r="B11" s="36" t="inlineStr">
        <is>
          <t>P</t>
        </is>
      </c>
      <c r="C11" s="36" t="inlineStr">
        <is>
          <t>P</t>
        </is>
      </c>
      <c r="D11" s="36" t="inlineStr">
        <is>
          <t>P</t>
        </is>
      </c>
      <c r="E11" s="37" t="inlineStr">
        <is>
          <t>WO</t>
        </is>
      </c>
      <c r="F11" s="36" t="inlineStr">
        <is>
          <t>P</t>
        </is>
      </c>
      <c r="G11" s="36" t="inlineStr">
        <is>
          <t>P</t>
        </is>
      </c>
      <c r="H11" s="36" t="inlineStr">
        <is>
          <t>P</t>
        </is>
      </c>
      <c r="I11" s="36" t="inlineStr">
        <is>
          <t>P</t>
        </is>
      </c>
      <c r="J11" s="36" t="inlineStr">
        <is>
          <t>P</t>
        </is>
      </c>
      <c r="K11" s="36" t="inlineStr">
        <is>
          <t>P</t>
        </is>
      </c>
      <c r="L11" s="37" t="inlineStr">
        <is>
          <t>WO</t>
        </is>
      </c>
      <c r="M11" s="36" t="inlineStr">
        <is>
          <t>P</t>
        </is>
      </c>
      <c r="N11" s="36" t="inlineStr">
        <is>
          <t>P</t>
        </is>
      </c>
      <c r="O11" s="36" t="inlineStr">
        <is>
          <t>P</t>
        </is>
      </c>
      <c r="P11" s="36" t="inlineStr">
        <is>
          <t>P</t>
        </is>
      </c>
      <c r="Q11" s="36" t="inlineStr">
        <is>
          <t>P</t>
        </is>
      </c>
      <c r="R11" s="36" t="inlineStr">
        <is>
          <t>P</t>
        </is>
      </c>
      <c r="S11" s="37" t="inlineStr">
        <is>
          <t>WO</t>
        </is>
      </c>
      <c r="T11" s="36" t="inlineStr">
        <is>
          <t>P</t>
        </is>
      </c>
      <c r="U11" s="36" t="inlineStr">
        <is>
          <t>P</t>
        </is>
      </c>
      <c r="V11" s="36" t="inlineStr">
        <is>
          <t>P</t>
        </is>
      </c>
      <c r="W11" s="36" t="inlineStr">
        <is>
          <t>P</t>
        </is>
      </c>
      <c r="X11" s="36" t="inlineStr">
        <is>
          <t>P</t>
        </is>
      </c>
      <c r="Y11" s="36" t="inlineStr">
        <is>
          <t>P</t>
        </is>
      </c>
      <c r="Z11" s="37" t="inlineStr">
        <is>
          <t>WO</t>
        </is>
      </c>
      <c r="AA11" s="36" t="inlineStr">
        <is>
          <t>P</t>
        </is>
      </c>
      <c r="AB11" s="38" t="inlineStr">
        <is>
          <t>-</t>
        </is>
      </c>
      <c r="AC11" s="38" t="inlineStr">
        <is>
          <t>-</t>
        </is>
      </c>
      <c r="AD11" s="38" t="inlineStr">
        <is>
          <t>-</t>
        </is>
      </c>
      <c r="AE11" s="38" t="inlineStr">
        <is>
          <t>-</t>
        </is>
      </c>
      <c r="AF11" s="38" t="inlineStr">
        <is>
          <t>-</t>
        </is>
      </c>
      <c r="AG11" s="39">
        <f>COUNTIF(B11:AF11, "P")</f>
        <v/>
      </c>
      <c r="AH11" s="15">
        <f>COUNTIF(B11:AF11, "CL")</f>
        <v/>
      </c>
      <c r="AI11" s="16">
        <f>COUNTIF(B11:AF11, "L")</f>
        <v/>
      </c>
      <c r="AJ11" s="17">
        <f>COUNTIF(B11:AF11, "WO")</f>
        <v/>
      </c>
      <c r="AK11" s="14">
        <f>COUNTIF(B11:AF11, "HO")</f>
        <v/>
      </c>
      <c r="AL11" s="18">
        <f>COUNTIF(B11:AF11, "CF")</f>
        <v/>
      </c>
      <c r="AM11" s="19">
        <f>AG11+AH11+AI11+AL11</f>
        <v/>
      </c>
      <c r="AN11" s="20">
        <f>IF(AM11&gt;0, AG11/AM11, 0)</f>
        <v/>
      </c>
    </row>
    <row r="12" ht="32" customHeight="1">
      <c r="A12" s="40" t="inlineStr">
        <is>
          <t>LAXMINARAYANA
Employee</t>
        </is>
      </c>
      <c r="B12" s="36" t="inlineStr">
        <is>
          <t>P</t>
        </is>
      </c>
      <c r="C12" s="36" t="inlineStr">
        <is>
          <t>P</t>
        </is>
      </c>
      <c r="D12" s="36" t="inlineStr">
        <is>
          <t>P</t>
        </is>
      </c>
      <c r="E12" s="37" t="inlineStr">
        <is>
          <t>WO</t>
        </is>
      </c>
      <c r="F12" s="36" t="inlineStr">
        <is>
          <t>P</t>
        </is>
      </c>
      <c r="G12" s="36" t="inlineStr">
        <is>
          <t>P</t>
        </is>
      </c>
      <c r="H12" s="36" t="inlineStr">
        <is>
          <t>P</t>
        </is>
      </c>
      <c r="I12" s="36" t="inlineStr">
        <is>
          <t>P</t>
        </is>
      </c>
      <c r="J12" s="36" t="inlineStr">
        <is>
          <t>P</t>
        </is>
      </c>
      <c r="K12" s="36" t="inlineStr">
        <is>
          <t>P</t>
        </is>
      </c>
      <c r="L12" s="37" t="inlineStr">
        <is>
          <t>WO</t>
        </is>
      </c>
      <c r="M12" s="36" t="inlineStr">
        <is>
          <t>P</t>
        </is>
      </c>
      <c r="N12" s="36" t="inlineStr">
        <is>
          <t>P</t>
        </is>
      </c>
      <c r="O12" s="36" t="inlineStr">
        <is>
          <t>P</t>
        </is>
      </c>
      <c r="P12" s="50" t="inlineStr">
        <is>
          <t>HO</t>
        </is>
      </c>
      <c r="Q12" s="36" t="inlineStr">
        <is>
          <t>P</t>
        </is>
      </c>
      <c r="R12" s="36" t="inlineStr">
        <is>
          <t>P</t>
        </is>
      </c>
      <c r="S12" s="37" t="inlineStr">
        <is>
          <t>WO</t>
        </is>
      </c>
      <c r="T12" s="36" t="inlineStr">
        <is>
          <t>P</t>
        </is>
      </c>
      <c r="U12" s="36" t="inlineStr">
        <is>
          <t>P</t>
        </is>
      </c>
      <c r="V12" s="36" t="inlineStr">
        <is>
          <t>P</t>
        </is>
      </c>
      <c r="W12" s="36" t="inlineStr">
        <is>
          <t>P</t>
        </is>
      </c>
      <c r="X12" s="36" t="inlineStr">
        <is>
          <t>P</t>
        </is>
      </c>
      <c r="Y12" s="36" t="inlineStr">
        <is>
          <t>P</t>
        </is>
      </c>
      <c r="Z12" s="37" t="inlineStr">
        <is>
          <t>WO</t>
        </is>
      </c>
      <c r="AA12" s="36" t="inlineStr">
        <is>
          <t>P</t>
        </is>
      </c>
      <c r="AB12" s="38" t="inlineStr">
        <is>
          <t>-</t>
        </is>
      </c>
      <c r="AC12" s="38" t="inlineStr">
        <is>
          <t>-</t>
        </is>
      </c>
      <c r="AD12" s="38" t="inlineStr">
        <is>
          <t>-</t>
        </is>
      </c>
      <c r="AE12" s="38" t="inlineStr">
        <is>
          <t>-</t>
        </is>
      </c>
      <c r="AF12" s="38" t="inlineStr">
        <is>
          <t>-</t>
        </is>
      </c>
      <c r="AG12" s="39">
        <f>COUNTIF(B12:AF12, "P")</f>
        <v/>
      </c>
      <c r="AH12" s="15">
        <f>COUNTIF(B12:AF12, "CL")</f>
        <v/>
      </c>
      <c r="AI12" s="16">
        <f>COUNTIF(B12:AF12, "L")</f>
        <v/>
      </c>
      <c r="AJ12" s="17">
        <f>COUNTIF(B12:AF12, "WO")</f>
        <v/>
      </c>
      <c r="AK12" s="14">
        <f>COUNTIF(B12:AF12, "HO")</f>
        <v/>
      </c>
      <c r="AL12" s="18">
        <f>COUNTIF(B12:AF12, "CF")</f>
        <v/>
      </c>
      <c r="AM12" s="19">
        <f>AG12+AH12+AI12+AL12</f>
        <v/>
      </c>
      <c r="AN12" s="20">
        <f>IF(AM12&gt;0, AG12/AM12, 0)</f>
        <v/>
      </c>
    </row>
    <row r="13" ht="32" customHeight="1">
      <c r="A13" s="35" t="inlineStr">
        <is>
          <t>NEELIMA
Employee</t>
        </is>
      </c>
      <c r="B13" s="36" t="inlineStr">
        <is>
          <t>P</t>
        </is>
      </c>
      <c r="C13" s="36" t="inlineStr">
        <is>
          <t>P</t>
        </is>
      </c>
      <c r="D13" s="36" t="inlineStr">
        <is>
          <t>P</t>
        </is>
      </c>
      <c r="E13" s="37" t="inlineStr">
        <is>
          <t>WO</t>
        </is>
      </c>
      <c r="F13" s="36" t="inlineStr">
        <is>
          <t>P</t>
        </is>
      </c>
      <c r="G13" s="36" t="inlineStr">
        <is>
          <t>P</t>
        </is>
      </c>
      <c r="H13" s="36" t="inlineStr">
        <is>
          <t>P</t>
        </is>
      </c>
      <c r="I13" s="36" t="inlineStr">
        <is>
          <t>P</t>
        </is>
      </c>
      <c r="J13" s="36" t="inlineStr">
        <is>
          <t>P</t>
        </is>
      </c>
      <c r="K13" s="36" t="inlineStr">
        <is>
          <t>P</t>
        </is>
      </c>
      <c r="L13" s="37" t="inlineStr">
        <is>
          <t>WO</t>
        </is>
      </c>
      <c r="M13" s="36" t="inlineStr">
        <is>
          <t>P</t>
        </is>
      </c>
      <c r="N13" s="36" t="inlineStr">
        <is>
          <t>P</t>
        </is>
      </c>
      <c r="O13" s="36" t="inlineStr">
        <is>
          <t>P</t>
        </is>
      </c>
      <c r="P13" s="50" t="inlineStr">
        <is>
          <t>HO</t>
        </is>
      </c>
      <c r="Q13" s="36" t="inlineStr">
        <is>
          <t>P</t>
        </is>
      </c>
      <c r="R13" s="36" t="inlineStr">
        <is>
          <t>P</t>
        </is>
      </c>
      <c r="S13" s="37" t="inlineStr">
        <is>
          <t>WO</t>
        </is>
      </c>
      <c r="T13" s="36" t="inlineStr">
        <is>
          <t>P</t>
        </is>
      </c>
      <c r="U13" s="36" t="inlineStr">
        <is>
          <t>P</t>
        </is>
      </c>
      <c r="V13" s="36" t="inlineStr">
        <is>
          <t>P</t>
        </is>
      </c>
      <c r="W13" s="36" t="inlineStr">
        <is>
          <t>P</t>
        </is>
      </c>
      <c r="X13" s="36" t="inlineStr">
        <is>
          <t>P</t>
        </is>
      </c>
      <c r="Y13" s="36" t="inlineStr">
        <is>
          <t>P</t>
        </is>
      </c>
      <c r="Z13" s="37" t="inlineStr">
        <is>
          <t>WO</t>
        </is>
      </c>
      <c r="AA13" s="36" t="inlineStr">
        <is>
          <t>P</t>
        </is>
      </c>
      <c r="AB13" s="38" t="inlineStr">
        <is>
          <t>-</t>
        </is>
      </c>
      <c r="AC13" s="38" t="inlineStr">
        <is>
          <t>-</t>
        </is>
      </c>
      <c r="AD13" s="38" t="inlineStr">
        <is>
          <t>-</t>
        </is>
      </c>
      <c r="AE13" s="38" t="inlineStr">
        <is>
          <t>-</t>
        </is>
      </c>
      <c r="AF13" s="38" t="inlineStr">
        <is>
          <t>-</t>
        </is>
      </c>
      <c r="AG13" s="39">
        <f>COUNTIF(B13:AF13, "P")</f>
        <v/>
      </c>
      <c r="AH13" s="15">
        <f>COUNTIF(B13:AF13, "CL")</f>
        <v/>
      </c>
      <c r="AI13" s="16">
        <f>COUNTIF(B13:AF13, "L")</f>
        <v/>
      </c>
      <c r="AJ13" s="17">
        <f>COUNTIF(B13:AF13, "WO")</f>
        <v/>
      </c>
      <c r="AK13" s="14">
        <f>COUNTIF(B13:AF13, "HO")</f>
        <v/>
      </c>
      <c r="AL13" s="18">
        <f>COUNTIF(B13:AF13, "CF")</f>
        <v/>
      </c>
      <c r="AM13" s="19">
        <f>AG13+AH13+AI13+AL13</f>
        <v/>
      </c>
      <c r="AN13" s="20">
        <f>IF(AM13&gt;0, AG13/AM13, 0)</f>
        <v/>
      </c>
    </row>
    <row r="14" ht="32" customHeight="1">
      <c r="A14" s="40" t="inlineStr">
        <is>
          <t>RAMESH
Employee</t>
        </is>
      </c>
      <c r="B14" s="36" t="inlineStr">
        <is>
          <t>P</t>
        </is>
      </c>
      <c r="C14" s="36" t="inlineStr">
        <is>
          <t>P</t>
        </is>
      </c>
      <c r="D14" s="36" t="inlineStr">
        <is>
          <t>P</t>
        </is>
      </c>
      <c r="E14" s="37" t="inlineStr">
        <is>
          <t>WO</t>
        </is>
      </c>
      <c r="F14" s="36" t="inlineStr">
        <is>
          <t>P</t>
        </is>
      </c>
      <c r="G14" s="36" t="inlineStr">
        <is>
          <t>P</t>
        </is>
      </c>
      <c r="H14" s="36" t="inlineStr">
        <is>
          <t>P</t>
        </is>
      </c>
      <c r="I14" s="36" t="inlineStr">
        <is>
          <t>P</t>
        </is>
      </c>
      <c r="J14" s="36" t="inlineStr">
        <is>
          <t>P</t>
        </is>
      </c>
      <c r="K14" s="36" t="inlineStr">
        <is>
          <t>P</t>
        </is>
      </c>
      <c r="L14" s="37" t="inlineStr">
        <is>
          <t>WO</t>
        </is>
      </c>
      <c r="M14" s="36" t="inlineStr">
        <is>
          <t>P</t>
        </is>
      </c>
      <c r="N14" s="36" t="inlineStr">
        <is>
          <t>P</t>
        </is>
      </c>
      <c r="O14" s="36" t="inlineStr">
        <is>
          <t>P</t>
        </is>
      </c>
      <c r="P14" s="50" t="inlineStr">
        <is>
          <t>HO</t>
        </is>
      </c>
      <c r="Q14" s="36" t="inlineStr">
        <is>
          <t>P</t>
        </is>
      </c>
      <c r="R14" s="36" t="inlineStr">
        <is>
          <t>P</t>
        </is>
      </c>
      <c r="S14" s="37" t="inlineStr">
        <is>
          <t>WO</t>
        </is>
      </c>
      <c r="T14" s="36" t="inlineStr">
        <is>
          <t>P</t>
        </is>
      </c>
      <c r="U14" s="36" t="inlineStr">
        <is>
          <t>P</t>
        </is>
      </c>
      <c r="V14" s="36" t="inlineStr">
        <is>
          <t>P</t>
        </is>
      </c>
      <c r="W14" s="36" t="inlineStr">
        <is>
          <t>P</t>
        </is>
      </c>
      <c r="X14" s="36" t="inlineStr">
        <is>
          <t>P</t>
        </is>
      </c>
      <c r="Y14" s="36" t="inlineStr">
        <is>
          <t>P</t>
        </is>
      </c>
      <c r="Z14" s="37" t="inlineStr">
        <is>
          <t>WO</t>
        </is>
      </c>
      <c r="AA14" s="36" t="inlineStr">
        <is>
          <t>P</t>
        </is>
      </c>
      <c r="AB14" s="38" t="inlineStr">
        <is>
          <t>-</t>
        </is>
      </c>
      <c r="AC14" s="38" t="inlineStr">
        <is>
          <t>-</t>
        </is>
      </c>
      <c r="AD14" s="38" t="inlineStr">
        <is>
          <t>-</t>
        </is>
      </c>
      <c r="AE14" s="38" t="inlineStr">
        <is>
          <t>-</t>
        </is>
      </c>
      <c r="AF14" s="38" t="inlineStr">
        <is>
          <t>-</t>
        </is>
      </c>
      <c r="AG14" s="39">
        <f>COUNTIF(B14:AF14, "P")</f>
        <v/>
      </c>
      <c r="AH14" s="15">
        <f>COUNTIF(B14:AF14, "CL")</f>
        <v/>
      </c>
      <c r="AI14" s="16">
        <f>COUNTIF(B14:AF14, "L")</f>
        <v/>
      </c>
      <c r="AJ14" s="17">
        <f>COUNTIF(B14:AF14, "WO")</f>
        <v/>
      </c>
      <c r="AK14" s="14">
        <f>COUNTIF(B14:AF14, "HO")</f>
        <v/>
      </c>
      <c r="AL14" s="18">
        <f>COUNTIF(B14:AF14, "CF")</f>
        <v/>
      </c>
      <c r="AM14" s="19">
        <f>AG14+AH14+AI14+AL14</f>
        <v/>
      </c>
      <c r="AN14" s="20">
        <f>IF(AM14&gt;0, AG14/AM14, 0)</f>
        <v/>
      </c>
    </row>
    <row r="15" ht="32" customHeight="1">
      <c r="A15" s="35" t="inlineStr">
        <is>
          <t>PHANI
Employee</t>
        </is>
      </c>
      <c r="B15" s="36" t="inlineStr">
        <is>
          <t>P</t>
        </is>
      </c>
      <c r="C15" s="36" t="inlineStr">
        <is>
          <t>P</t>
        </is>
      </c>
      <c r="D15" s="41" t="inlineStr">
        <is>
          <t>CL</t>
        </is>
      </c>
      <c r="E15" s="36" t="inlineStr">
        <is>
          <t>P</t>
        </is>
      </c>
      <c r="F15" s="36" t="inlineStr">
        <is>
          <t>P</t>
        </is>
      </c>
      <c r="G15" s="36" t="inlineStr">
        <is>
          <t>P</t>
        </is>
      </c>
      <c r="H15" s="36" t="inlineStr">
        <is>
          <t>P</t>
        </is>
      </c>
      <c r="I15" s="36" t="inlineStr">
        <is>
          <t>P</t>
        </is>
      </c>
      <c r="J15" s="36" t="inlineStr">
        <is>
          <t>P</t>
        </is>
      </c>
      <c r="K15" s="36" t="inlineStr">
        <is>
          <t>P</t>
        </is>
      </c>
      <c r="L15" s="36" t="inlineStr">
        <is>
          <t>P</t>
        </is>
      </c>
      <c r="M15" s="36" t="inlineStr">
        <is>
          <t>P</t>
        </is>
      </c>
      <c r="N15" s="36" t="inlineStr">
        <is>
          <t>P</t>
        </is>
      </c>
      <c r="O15" s="36" t="inlineStr">
        <is>
          <t>P</t>
        </is>
      </c>
      <c r="P15" s="36" t="inlineStr">
        <is>
          <t>P</t>
        </is>
      </c>
      <c r="Q15" s="36" t="inlineStr">
        <is>
          <t>P</t>
        </is>
      </c>
      <c r="R15" s="36" t="inlineStr">
        <is>
          <t>P</t>
        </is>
      </c>
      <c r="S15" s="36" t="inlineStr">
        <is>
          <t>P</t>
        </is>
      </c>
      <c r="T15" s="36" t="inlineStr">
        <is>
          <t>P</t>
        </is>
      </c>
      <c r="U15" s="36" t="inlineStr">
        <is>
          <t>P</t>
        </is>
      </c>
      <c r="V15" s="37" t="inlineStr">
        <is>
          <t>WO</t>
        </is>
      </c>
      <c r="W15" s="36" t="inlineStr">
        <is>
          <t>P</t>
        </is>
      </c>
      <c r="X15" s="36" t="inlineStr">
        <is>
          <t>P</t>
        </is>
      </c>
      <c r="Y15" s="36" t="inlineStr">
        <is>
          <t>P</t>
        </is>
      </c>
      <c r="Z15" s="36" t="inlineStr">
        <is>
          <t>P</t>
        </is>
      </c>
      <c r="AA15" s="37" t="inlineStr">
        <is>
          <t>WO</t>
        </is>
      </c>
      <c r="AB15" s="38" t="inlineStr">
        <is>
          <t>-</t>
        </is>
      </c>
      <c r="AC15" s="38" t="inlineStr">
        <is>
          <t>-</t>
        </is>
      </c>
      <c r="AD15" s="38" t="inlineStr">
        <is>
          <t>-</t>
        </is>
      </c>
      <c r="AE15" s="38" t="inlineStr">
        <is>
          <t>-</t>
        </is>
      </c>
      <c r="AF15" s="38" t="inlineStr">
        <is>
          <t>-</t>
        </is>
      </c>
      <c r="AG15" s="39">
        <f>COUNTIF(B15:AF15, "P")</f>
        <v/>
      </c>
      <c r="AH15" s="15">
        <f>COUNTIF(B15:AF15, "CL")</f>
        <v/>
      </c>
      <c r="AI15" s="16">
        <f>COUNTIF(B15:AF15, "L")</f>
        <v/>
      </c>
      <c r="AJ15" s="17">
        <f>COUNTIF(B15:AF15, "WO")</f>
        <v/>
      </c>
      <c r="AK15" s="14">
        <f>COUNTIF(B15:AF15, "HO")</f>
        <v/>
      </c>
      <c r="AL15" s="18">
        <f>COUNTIF(B15:AF15, "CF")</f>
        <v/>
      </c>
      <c r="AM15" s="19">
        <f>AG15+AH15+AI15+AL15</f>
        <v/>
      </c>
      <c r="AN15" s="20">
        <f>IF(AM15&gt;0, AG15/AM15, 0)</f>
        <v/>
      </c>
    </row>
    <row r="16" ht="32" customHeight="1">
      <c r="A16" s="40" t="inlineStr">
        <is>
          <t>SIRISHA
Employee</t>
        </is>
      </c>
      <c r="B16" s="36" t="inlineStr">
        <is>
          <t>P</t>
        </is>
      </c>
      <c r="C16" s="36" t="inlineStr">
        <is>
          <t>P</t>
        </is>
      </c>
      <c r="D16" s="36" t="inlineStr">
        <is>
          <t>P</t>
        </is>
      </c>
      <c r="E16" s="36" t="inlineStr">
        <is>
          <t>P</t>
        </is>
      </c>
      <c r="F16" s="36" t="inlineStr">
        <is>
          <t>P</t>
        </is>
      </c>
      <c r="G16" s="36" t="inlineStr">
        <is>
          <t>P</t>
        </is>
      </c>
      <c r="H16" s="36" t="inlineStr">
        <is>
          <t>P</t>
        </is>
      </c>
      <c r="I16" s="36" t="inlineStr">
        <is>
          <t>P</t>
        </is>
      </c>
      <c r="J16" s="36" t="inlineStr">
        <is>
          <t>P</t>
        </is>
      </c>
      <c r="K16" s="36" t="inlineStr">
        <is>
          <t>P</t>
        </is>
      </c>
      <c r="L16" s="36" t="inlineStr">
        <is>
          <t>P</t>
        </is>
      </c>
      <c r="M16" s="36" t="inlineStr">
        <is>
          <t>P</t>
        </is>
      </c>
      <c r="N16" s="36" t="inlineStr">
        <is>
          <t>P</t>
        </is>
      </c>
      <c r="O16" s="36" t="inlineStr">
        <is>
          <t>P</t>
        </is>
      </c>
      <c r="P16" s="50" t="inlineStr">
        <is>
          <t>HO</t>
        </is>
      </c>
      <c r="Q16" s="36" t="inlineStr">
        <is>
          <t>P</t>
        </is>
      </c>
      <c r="R16" s="36" t="inlineStr">
        <is>
          <t>P</t>
        </is>
      </c>
      <c r="S16" s="37" t="inlineStr">
        <is>
          <t>WO</t>
        </is>
      </c>
      <c r="T16" s="36" t="inlineStr">
        <is>
          <t>P</t>
        </is>
      </c>
      <c r="U16" s="36" t="inlineStr">
        <is>
          <t>P</t>
        </is>
      </c>
      <c r="V16" s="36" t="inlineStr">
        <is>
          <t>P</t>
        </is>
      </c>
      <c r="W16" s="36" t="inlineStr">
        <is>
          <t>P</t>
        </is>
      </c>
      <c r="X16" s="36" t="inlineStr">
        <is>
          <t>P</t>
        </is>
      </c>
      <c r="Y16" s="36" t="inlineStr">
        <is>
          <t>P</t>
        </is>
      </c>
      <c r="Z16" s="37" t="inlineStr">
        <is>
          <t>WO</t>
        </is>
      </c>
      <c r="AA16" s="41" t="inlineStr">
        <is>
          <t>CL</t>
        </is>
      </c>
      <c r="AB16" s="38" t="inlineStr">
        <is>
          <t>-</t>
        </is>
      </c>
      <c r="AC16" s="38" t="inlineStr">
        <is>
          <t>-</t>
        </is>
      </c>
      <c r="AD16" s="38" t="inlineStr">
        <is>
          <t>-</t>
        </is>
      </c>
      <c r="AE16" s="38" t="inlineStr">
        <is>
          <t>-</t>
        </is>
      </c>
      <c r="AF16" s="38" t="inlineStr">
        <is>
          <t>-</t>
        </is>
      </c>
      <c r="AG16" s="39">
        <f>COUNTIF(B16:AF16, "P")</f>
        <v/>
      </c>
      <c r="AH16" s="15">
        <f>COUNTIF(B16:AF16, "CL")</f>
        <v/>
      </c>
      <c r="AI16" s="16">
        <f>COUNTIF(B16:AF16, "L")</f>
        <v/>
      </c>
      <c r="AJ16" s="17">
        <f>COUNTIF(B16:AF16, "WO")</f>
        <v/>
      </c>
      <c r="AK16" s="14">
        <f>COUNTIF(B16:AF16, "HO")</f>
        <v/>
      </c>
      <c r="AL16" s="18">
        <f>COUNTIF(B16:AF16, "CF")</f>
        <v/>
      </c>
      <c r="AM16" s="19">
        <f>AG16+AH16+AI16+AL16</f>
        <v/>
      </c>
      <c r="AN16" s="20">
        <f>IF(AM16&gt;0, AG16/AM16, 0)</f>
        <v/>
      </c>
    </row>
    <row r="17" ht="32" customHeight="1">
      <c r="A17" s="35" t="inlineStr">
        <is>
          <t>Ch Praveen Kumar
Employee</t>
        </is>
      </c>
      <c r="B17" s="36" t="inlineStr">
        <is>
          <t>P</t>
        </is>
      </c>
      <c r="C17" s="36" t="inlineStr">
        <is>
          <t>P</t>
        </is>
      </c>
      <c r="D17" s="36" t="inlineStr">
        <is>
          <t>P</t>
        </is>
      </c>
      <c r="E17" s="37" t="inlineStr">
        <is>
          <t>WO</t>
        </is>
      </c>
      <c r="F17" s="36" t="inlineStr">
        <is>
          <t>P</t>
        </is>
      </c>
      <c r="G17" s="36" t="inlineStr">
        <is>
          <t>P</t>
        </is>
      </c>
      <c r="H17" s="36" t="inlineStr">
        <is>
          <t>P</t>
        </is>
      </c>
      <c r="I17" s="36" t="inlineStr">
        <is>
          <t>P</t>
        </is>
      </c>
      <c r="J17" s="36" t="inlineStr">
        <is>
          <t>P</t>
        </is>
      </c>
      <c r="K17" s="36" t="inlineStr">
        <is>
          <t>P</t>
        </is>
      </c>
      <c r="L17" s="37" t="inlineStr">
        <is>
          <t>WO</t>
        </is>
      </c>
      <c r="M17" s="36" t="inlineStr">
        <is>
          <t>P</t>
        </is>
      </c>
      <c r="N17" s="36" t="inlineStr">
        <is>
          <t>P</t>
        </is>
      </c>
      <c r="O17" s="41" t="inlineStr">
        <is>
          <t>CL</t>
        </is>
      </c>
      <c r="P17" s="36" t="inlineStr">
        <is>
          <t>P</t>
        </is>
      </c>
      <c r="Q17" s="36" t="inlineStr">
        <is>
          <t>P</t>
        </is>
      </c>
      <c r="R17" s="36" t="inlineStr">
        <is>
          <t>P</t>
        </is>
      </c>
      <c r="S17" s="37" t="inlineStr">
        <is>
          <t>WO</t>
        </is>
      </c>
      <c r="T17" s="36" t="inlineStr">
        <is>
          <t>P</t>
        </is>
      </c>
      <c r="U17" s="36" t="inlineStr">
        <is>
          <t>P</t>
        </is>
      </c>
      <c r="V17" s="36" t="inlineStr">
        <is>
          <t>P</t>
        </is>
      </c>
      <c r="W17" s="36" t="inlineStr">
        <is>
          <t>P</t>
        </is>
      </c>
      <c r="X17" s="36" t="inlineStr">
        <is>
          <t>P</t>
        </is>
      </c>
      <c r="Y17" s="36" t="inlineStr">
        <is>
          <t>P</t>
        </is>
      </c>
      <c r="Z17" s="37" t="inlineStr">
        <is>
          <t>WO</t>
        </is>
      </c>
      <c r="AA17" s="36" t="inlineStr">
        <is>
          <t>P</t>
        </is>
      </c>
      <c r="AB17" s="38" t="inlineStr">
        <is>
          <t>-</t>
        </is>
      </c>
      <c r="AC17" s="38" t="inlineStr">
        <is>
          <t>-</t>
        </is>
      </c>
      <c r="AD17" s="38" t="inlineStr">
        <is>
          <t>-</t>
        </is>
      </c>
      <c r="AE17" s="38" t="inlineStr">
        <is>
          <t>-</t>
        </is>
      </c>
      <c r="AF17" s="38" t="inlineStr">
        <is>
          <t>-</t>
        </is>
      </c>
      <c r="AG17" s="39">
        <f>COUNTIF(B17:AF17, "P")</f>
        <v/>
      </c>
      <c r="AH17" s="15">
        <f>COUNTIF(B17:AF17, "CL")</f>
        <v/>
      </c>
      <c r="AI17" s="16">
        <f>COUNTIF(B17:AF17, "L")</f>
        <v/>
      </c>
      <c r="AJ17" s="17">
        <f>COUNTIF(B17:AF17, "WO")</f>
        <v/>
      </c>
      <c r="AK17" s="14">
        <f>COUNTIF(B17:AF17, "HO")</f>
        <v/>
      </c>
      <c r="AL17" s="18">
        <f>COUNTIF(B17:AF17, "CF")</f>
        <v/>
      </c>
      <c r="AM17" s="19">
        <f>AG17+AH17+AI17+AL17</f>
        <v/>
      </c>
      <c r="AN17" s="20">
        <f>IF(AM17&gt;0, AG17/AM17, 0)</f>
        <v/>
      </c>
    </row>
    <row r="18" ht="32" customHeight="1">
      <c r="A18" s="40" t="inlineStr">
        <is>
          <t>SAI CHARAN
Employee</t>
        </is>
      </c>
      <c r="B18" s="41" t="inlineStr">
        <is>
          <t>CL</t>
        </is>
      </c>
      <c r="C18" s="36" t="inlineStr">
        <is>
          <t>P</t>
        </is>
      </c>
      <c r="D18" s="36" t="inlineStr">
        <is>
          <t>P</t>
        </is>
      </c>
      <c r="E18" s="37" t="inlineStr">
        <is>
          <t>WO</t>
        </is>
      </c>
      <c r="F18" s="36" t="inlineStr">
        <is>
          <t>P</t>
        </is>
      </c>
      <c r="G18" s="36" t="inlineStr">
        <is>
          <t>P</t>
        </is>
      </c>
      <c r="H18" s="36" t="inlineStr">
        <is>
          <t>P</t>
        </is>
      </c>
      <c r="I18" s="36" t="inlineStr">
        <is>
          <t>P</t>
        </is>
      </c>
      <c r="J18" s="36" t="inlineStr">
        <is>
          <t>P</t>
        </is>
      </c>
      <c r="K18" s="36" t="inlineStr">
        <is>
          <t>P</t>
        </is>
      </c>
      <c r="L18" s="37" t="inlineStr">
        <is>
          <t>WO</t>
        </is>
      </c>
      <c r="M18" s="36" t="inlineStr">
        <is>
          <t>P</t>
        </is>
      </c>
      <c r="N18" s="36" t="inlineStr">
        <is>
          <t>P</t>
        </is>
      </c>
      <c r="O18" s="36" t="inlineStr">
        <is>
          <t>P</t>
        </is>
      </c>
      <c r="P18" s="36" t="inlineStr">
        <is>
          <t>P</t>
        </is>
      </c>
      <c r="Q18" s="36" t="inlineStr">
        <is>
          <t>P</t>
        </is>
      </c>
      <c r="R18" s="36" t="inlineStr">
        <is>
          <t>P</t>
        </is>
      </c>
      <c r="S18" s="37" t="inlineStr">
        <is>
          <t>WO</t>
        </is>
      </c>
      <c r="T18" s="43" t="inlineStr">
        <is>
          <t>CF</t>
        </is>
      </c>
      <c r="U18" s="36" t="inlineStr">
        <is>
          <t>P</t>
        </is>
      </c>
      <c r="V18" s="36" t="inlineStr">
        <is>
          <t>P</t>
        </is>
      </c>
      <c r="W18" s="36" t="inlineStr">
        <is>
          <t>P</t>
        </is>
      </c>
      <c r="X18" s="36" t="inlineStr">
        <is>
          <t>P</t>
        </is>
      </c>
      <c r="Y18" s="36" t="inlineStr">
        <is>
          <t>P</t>
        </is>
      </c>
      <c r="Z18" s="37" t="inlineStr">
        <is>
          <t>WO</t>
        </is>
      </c>
      <c r="AA18" s="36" t="inlineStr">
        <is>
          <t>P</t>
        </is>
      </c>
      <c r="AB18" s="38" t="inlineStr">
        <is>
          <t>-</t>
        </is>
      </c>
      <c r="AC18" s="38" t="inlineStr">
        <is>
          <t>-</t>
        </is>
      </c>
      <c r="AD18" s="38" t="inlineStr">
        <is>
          <t>-</t>
        </is>
      </c>
      <c r="AE18" s="38" t="inlineStr">
        <is>
          <t>-</t>
        </is>
      </c>
      <c r="AF18" s="38" t="inlineStr">
        <is>
          <t>-</t>
        </is>
      </c>
      <c r="AG18" s="39">
        <f>COUNTIF(B18:AF18, "P")</f>
        <v/>
      </c>
      <c r="AH18" s="15">
        <f>COUNTIF(B18:AF18, "CL")</f>
        <v/>
      </c>
      <c r="AI18" s="16">
        <f>COUNTIF(B18:AF18, "L")</f>
        <v/>
      </c>
      <c r="AJ18" s="17">
        <f>COUNTIF(B18:AF18, "WO")</f>
        <v/>
      </c>
      <c r="AK18" s="14">
        <f>COUNTIF(B18:AF18, "HO")</f>
        <v/>
      </c>
      <c r="AL18" s="18">
        <f>COUNTIF(B18:AF18, "CF")</f>
        <v/>
      </c>
      <c r="AM18" s="19">
        <f>AG18+AH18+AI18+AL18</f>
        <v/>
      </c>
      <c r="AN18" s="20">
        <f>IF(AM18&gt;0, AG18/AM18, 0)</f>
        <v/>
      </c>
    </row>
    <row r="19" ht="32" customHeight="1">
      <c r="A19" s="35" t="inlineStr">
        <is>
          <t>KAVITHA
Employee</t>
        </is>
      </c>
      <c r="B19" s="41" t="inlineStr">
        <is>
          <t>CL</t>
        </is>
      </c>
      <c r="C19" s="36" t="inlineStr">
        <is>
          <t>P</t>
        </is>
      </c>
      <c r="D19" s="36" t="inlineStr">
        <is>
          <t>P</t>
        </is>
      </c>
      <c r="E19" s="37" t="inlineStr">
        <is>
          <t>WO</t>
        </is>
      </c>
      <c r="F19" s="36" t="inlineStr">
        <is>
          <t>P</t>
        </is>
      </c>
      <c r="G19" s="36" t="inlineStr">
        <is>
          <t>P</t>
        </is>
      </c>
      <c r="H19" s="36" t="inlineStr">
        <is>
          <t>P</t>
        </is>
      </c>
      <c r="I19" s="36" t="inlineStr">
        <is>
          <t>P</t>
        </is>
      </c>
      <c r="J19" s="36" t="inlineStr">
        <is>
          <t>P</t>
        </is>
      </c>
      <c r="K19" s="36" t="inlineStr">
        <is>
          <t>P</t>
        </is>
      </c>
      <c r="L19" s="37" t="inlineStr">
        <is>
          <t>WO</t>
        </is>
      </c>
      <c r="M19" s="36" t="inlineStr">
        <is>
          <t>P</t>
        </is>
      </c>
      <c r="N19" s="36" t="inlineStr">
        <is>
          <t>P</t>
        </is>
      </c>
      <c r="O19" s="42" t="inlineStr">
        <is>
          <t>L</t>
        </is>
      </c>
      <c r="P19" s="50" t="inlineStr">
        <is>
          <t>HO</t>
        </is>
      </c>
      <c r="Q19" s="36" t="inlineStr">
        <is>
          <t>P</t>
        </is>
      </c>
      <c r="R19" s="36" t="inlineStr">
        <is>
          <t>P</t>
        </is>
      </c>
      <c r="S19" s="37" t="inlineStr">
        <is>
          <t>WO</t>
        </is>
      </c>
      <c r="T19" s="36" t="inlineStr">
        <is>
          <t>P</t>
        </is>
      </c>
      <c r="U19" s="36" t="inlineStr">
        <is>
          <t>P</t>
        </is>
      </c>
      <c r="V19" s="36" t="inlineStr">
        <is>
          <t>P</t>
        </is>
      </c>
      <c r="W19" s="36" t="inlineStr">
        <is>
          <t>P</t>
        </is>
      </c>
      <c r="X19" s="36" t="inlineStr">
        <is>
          <t>P</t>
        </is>
      </c>
      <c r="Y19" s="42" t="inlineStr">
        <is>
          <t>L</t>
        </is>
      </c>
      <c r="Z19" s="37" t="inlineStr">
        <is>
          <t>WO</t>
        </is>
      </c>
      <c r="AA19" s="36" t="inlineStr">
        <is>
          <t>P</t>
        </is>
      </c>
      <c r="AB19" s="38" t="inlineStr">
        <is>
          <t>-</t>
        </is>
      </c>
      <c r="AC19" s="38" t="inlineStr">
        <is>
          <t>-</t>
        </is>
      </c>
      <c r="AD19" s="38" t="inlineStr">
        <is>
          <t>-</t>
        </is>
      </c>
      <c r="AE19" s="38" t="inlineStr">
        <is>
          <t>-</t>
        </is>
      </c>
      <c r="AF19" s="38" t="inlineStr">
        <is>
          <t>-</t>
        </is>
      </c>
      <c r="AG19" s="39">
        <f>COUNTIF(B19:AF19, "P")</f>
        <v/>
      </c>
      <c r="AH19" s="15">
        <f>COUNTIF(B19:AF19, "CL")</f>
        <v/>
      </c>
      <c r="AI19" s="16">
        <f>COUNTIF(B19:AF19, "L")</f>
        <v/>
      </c>
      <c r="AJ19" s="17">
        <f>COUNTIF(B19:AF19, "WO")</f>
        <v/>
      </c>
      <c r="AK19" s="14">
        <f>COUNTIF(B19:AF19, "HO")</f>
        <v/>
      </c>
      <c r="AL19" s="18">
        <f>COUNTIF(B19:AF19, "CF")</f>
        <v/>
      </c>
      <c r="AM19" s="19">
        <f>AG19+AH19+AI19+AL19</f>
        <v/>
      </c>
      <c r="AN19" s="20">
        <f>IF(AM19&gt;0, AG19/AM19, 0)</f>
        <v/>
      </c>
    </row>
    <row r="20" ht="32" customHeight="1">
      <c r="A20" s="40" t="inlineStr">
        <is>
          <t>RAVALI
Employee</t>
        </is>
      </c>
      <c r="B20" s="41" t="inlineStr">
        <is>
          <t>CL</t>
        </is>
      </c>
      <c r="C20" s="36" t="inlineStr">
        <is>
          <t>P</t>
        </is>
      </c>
      <c r="D20" s="36" t="inlineStr">
        <is>
          <t>P</t>
        </is>
      </c>
      <c r="E20" s="37" t="inlineStr">
        <is>
          <t>WO</t>
        </is>
      </c>
      <c r="F20" s="36" t="inlineStr">
        <is>
          <t>P</t>
        </is>
      </c>
      <c r="G20" s="36" t="inlineStr">
        <is>
          <t>P</t>
        </is>
      </c>
      <c r="H20" s="36" t="inlineStr">
        <is>
          <t>P</t>
        </is>
      </c>
      <c r="I20" s="36" t="inlineStr">
        <is>
          <t>P</t>
        </is>
      </c>
      <c r="J20" s="36" t="inlineStr">
        <is>
          <t>P</t>
        </is>
      </c>
      <c r="K20" s="36" t="inlineStr">
        <is>
          <t>P</t>
        </is>
      </c>
      <c r="L20" s="37" t="inlineStr">
        <is>
          <t>WO</t>
        </is>
      </c>
      <c r="M20" s="36" t="inlineStr">
        <is>
          <t>P</t>
        </is>
      </c>
      <c r="N20" s="36" t="inlineStr">
        <is>
          <t>P</t>
        </is>
      </c>
      <c r="O20" s="36" t="inlineStr">
        <is>
          <t>P</t>
        </is>
      </c>
      <c r="P20" s="50" t="inlineStr">
        <is>
          <t>HO</t>
        </is>
      </c>
      <c r="Q20" s="42" t="inlineStr">
        <is>
          <t>L</t>
        </is>
      </c>
      <c r="R20" s="36" t="inlineStr">
        <is>
          <t>P</t>
        </is>
      </c>
      <c r="S20" s="37" t="inlineStr">
        <is>
          <t>WO</t>
        </is>
      </c>
      <c r="T20" s="36" t="inlineStr">
        <is>
          <t>P</t>
        </is>
      </c>
      <c r="U20" s="36" t="inlineStr">
        <is>
          <t>P</t>
        </is>
      </c>
      <c r="V20" s="42" t="inlineStr">
        <is>
          <t>L</t>
        </is>
      </c>
      <c r="W20" s="36" t="inlineStr">
        <is>
          <t>P</t>
        </is>
      </c>
      <c r="X20" s="36" t="inlineStr">
        <is>
          <t>P</t>
        </is>
      </c>
      <c r="Y20" s="36" t="inlineStr">
        <is>
          <t>P</t>
        </is>
      </c>
      <c r="Z20" s="37" t="inlineStr">
        <is>
          <t>WO</t>
        </is>
      </c>
      <c r="AA20" s="36" t="inlineStr">
        <is>
          <t>P</t>
        </is>
      </c>
      <c r="AB20" s="38" t="inlineStr">
        <is>
          <t>-</t>
        </is>
      </c>
      <c r="AC20" s="38" t="inlineStr">
        <is>
          <t>-</t>
        </is>
      </c>
      <c r="AD20" s="38" t="inlineStr">
        <is>
          <t>-</t>
        </is>
      </c>
      <c r="AE20" s="38" t="inlineStr">
        <is>
          <t>-</t>
        </is>
      </c>
      <c r="AF20" s="38" t="inlineStr">
        <is>
          <t>-</t>
        </is>
      </c>
      <c r="AG20" s="39">
        <f>COUNTIF(B20:AF20, "P")</f>
        <v/>
      </c>
      <c r="AH20" s="15">
        <f>COUNTIF(B20:AF20, "CL")</f>
        <v/>
      </c>
      <c r="AI20" s="16">
        <f>COUNTIF(B20:AF20, "L")</f>
        <v/>
      </c>
      <c r="AJ20" s="17">
        <f>COUNTIF(B20:AF20, "WO")</f>
        <v/>
      </c>
      <c r="AK20" s="14">
        <f>COUNTIF(B20:AF20, "HO")</f>
        <v/>
      </c>
      <c r="AL20" s="18">
        <f>COUNTIF(B20:AF20, "CF")</f>
        <v/>
      </c>
      <c r="AM20" s="19">
        <f>AG20+AH20+AI20+AL20</f>
        <v/>
      </c>
      <c r="AN20" s="20">
        <f>IF(AM20&gt;0, AG20/AM20, 0)</f>
        <v/>
      </c>
    </row>
    <row r="21" ht="32" customHeight="1">
      <c r="A21" s="35" t="inlineStr">
        <is>
          <t>MANI
Employee</t>
        </is>
      </c>
      <c r="B21" s="41" t="inlineStr">
        <is>
          <t>CL</t>
        </is>
      </c>
      <c r="C21" s="42" t="inlineStr">
        <is>
          <t>L</t>
        </is>
      </c>
      <c r="D21" s="42" t="inlineStr">
        <is>
          <t>L</t>
        </is>
      </c>
      <c r="E21" s="37" t="inlineStr">
        <is>
          <t>WO</t>
        </is>
      </c>
      <c r="F21" s="42" t="inlineStr">
        <is>
          <t>L</t>
        </is>
      </c>
      <c r="G21" s="36" t="inlineStr">
        <is>
          <t>P</t>
        </is>
      </c>
      <c r="H21" s="36" t="inlineStr">
        <is>
          <t>P</t>
        </is>
      </c>
      <c r="I21" s="36" t="inlineStr">
        <is>
          <t>P</t>
        </is>
      </c>
      <c r="J21" s="36" t="inlineStr">
        <is>
          <t>P</t>
        </is>
      </c>
      <c r="K21" s="36" t="inlineStr">
        <is>
          <t>P</t>
        </is>
      </c>
      <c r="L21" s="37" t="inlineStr">
        <is>
          <t>WO</t>
        </is>
      </c>
      <c r="M21" s="36" t="inlineStr">
        <is>
          <t>P</t>
        </is>
      </c>
      <c r="N21" s="36" t="inlineStr">
        <is>
          <t>P</t>
        </is>
      </c>
      <c r="O21" s="36" t="inlineStr">
        <is>
          <t>P</t>
        </is>
      </c>
      <c r="P21" s="36" t="inlineStr">
        <is>
          <t>P</t>
        </is>
      </c>
      <c r="Q21" s="36" t="inlineStr">
        <is>
          <t>P</t>
        </is>
      </c>
      <c r="R21" s="36" t="inlineStr">
        <is>
          <t>P</t>
        </is>
      </c>
      <c r="S21" s="37" t="inlineStr">
        <is>
          <t>WO</t>
        </is>
      </c>
      <c r="T21" s="36" t="inlineStr">
        <is>
          <t>P</t>
        </is>
      </c>
      <c r="U21" s="36" t="inlineStr">
        <is>
          <t>P</t>
        </is>
      </c>
      <c r="V21" s="36" t="inlineStr">
        <is>
          <t>P</t>
        </is>
      </c>
      <c r="W21" s="36" t="inlineStr">
        <is>
          <t>P</t>
        </is>
      </c>
      <c r="X21" s="43" t="inlineStr">
        <is>
          <t>CF</t>
        </is>
      </c>
      <c r="Y21" s="36" t="inlineStr">
        <is>
          <t>P</t>
        </is>
      </c>
      <c r="Z21" s="37" t="inlineStr">
        <is>
          <t>WO</t>
        </is>
      </c>
      <c r="AA21" s="36" t="inlineStr">
        <is>
          <t>P</t>
        </is>
      </c>
      <c r="AB21" s="38" t="inlineStr">
        <is>
          <t>-</t>
        </is>
      </c>
      <c r="AC21" s="38" t="inlineStr">
        <is>
          <t>-</t>
        </is>
      </c>
      <c r="AD21" s="38" t="inlineStr">
        <is>
          <t>-</t>
        </is>
      </c>
      <c r="AE21" s="38" t="inlineStr">
        <is>
          <t>-</t>
        </is>
      </c>
      <c r="AF21" s="38" t="inlineStr">
        <is>
          <t>-</t>
        </is>
      </c>
      <c r="AG21" s="39">
        <f>COUNTIF(B21:AF21, "P")</f>
        <v/>
      </c>
      <c r="AH21" s="15">
        <f>COUNTIF(B21:AF21, "CL")</f>
        <v/>
      </c>
      <c r="AI21" s="16">
        <f>COUNTIF(B21:AF21, "L")</f>
        <v/>
      </c>
      <c r="AJ21" s="17">
        <f>COUNTIF(B21:AF21, "WO")</f>
        <v/>
      </c>
      <c r="AK21" s="14">
        <f>COUNTIF(B21:AF21, "HO")</f>
        <v/>
      </c>
      <c r="AL21" s="18">
        <f>COUNTIF(B21:AF21, "CF")</f>
        <v/>
      </c>
      <c r="AM21" s="19">
        <f>AG21+AH21+AI21+AL21</f>
        <v/>
      </c>
      <c r="AN21" s="20">
        <f>IF(AM21&gt;0, AG21/AM21, 0)</f>
        <v/>
      </c>
    </row>
    <row r="22" ht="32" customHeight="1">
      <c r="A22" s="40" t="inlineStr">
        <is>
          <t>PRAVEEN KUMAR
Employee</t>
        </is>
      </c>
      <c r="B22" s="36" t="inlineStr">
        <is>
          <t>P</t>
        </is>
      </c>
      <c r="C22" s="41" t="inlineStr">
        <is>
          <t>CL</t>
        </is>
      </c>
      <c r="D22" s="42" t="inlineStr">
        <is>
          <t>L</t>
        </is>
      </c>
      <c r="E22" s="37" t="inlineStr">
        <is>
          <t>WO</t>
        </is>
      </c>
      <c r="F22" s="36" t="inlineStr">
        <is>
          <t>P</t>
        </is>
      </c>
      <c r="G22" s="36" t="inlineStr">
        <is>
          <t>P</t>
        </is>
      </c>
      <c r="H22" s="36" t="inlineStr">
        <is>
          <t>P</t>
        </is>
      </c>
      <c r="I22" s="36" t="inlineStr">
        <is>
          <t>P</t>
        </is>
      </c>
      <c r="J22" s="36" t="inlineStr">
        <is>
          <t>P</t>
        </is>
      </c>
      <c r="K22" s="36" t="inlineStr">
        <is>
          <t>P</t>
        </is>
      </c>
      <c r="L22" s="37" t="inlineStr">
        <is>
          <t>WO</t>
        </is>
      </c>
      <c r="M22" s="42" t="inlineStr">
        <is>
          <t>L</t>
        </is>
      </c>
      <c r="N22" s="36" t="inlineStr">
        <is>
          <t>P</t>
        </is>
      </c>
      <c r="O22" s="36" t="inlineStr">
        <is>
          <t>P</t>
        </is>
      </c>
      <c r="P22" s="42" t="inlineStr">
        <is>
          <t>L</t>
        </is>
      </c>
      <c r="Q22" s="36" t="inlineStr">
        <is>
          <t>P</t>
        </is>
      </c>
      <c r="R22" s="36" t="inlineStr">
        <is>
          <t>P</t>
        </is>
      </c>
      <c r="S22" s="37" t="inlineStr">
        <is>
          <t>WO</t>
        </is>
      </c>
      <c r="T22" s="42" t="inlineStr">
        <is>
          <t>L</t>
        </is>
      </c>
      <c r="U22" s="36" t="inlineStr">
        <is>
          <t>P</t>
        </is>
      </c>
      <c r="V22" s="36" t="inlineStr">
        <is>
          <t>P</t>
        </is>
      </c>
      <c r="W22" s="36" t="inlineStr">
        <is>
          <t>P</t>
        </is>
      </c>
      <c r="X22" s="36" t="inlineStr">
        <is>
          <t>P</t>
        </is>
      </c>
      <c r="Y22" s="42" t="inlineStr">
        <is>
          <t>L</t>
        </is>
      </c>
      <c r="Z22" s="37" t="inlineStr">
        <is>
          <t>WO</t>
        </is>
      </c>
      <c r="AA22" s="42" t="inlineStr">
        <is>
          <t>L</t>
        </is>
      </c>
      <c r="AB22" s="38" t="inlineStr">
        <is>
          <t>-</t>
        </is>
      </c>
      <c r="AC22" s="38" t="inlineStr">
        <is>
          <t>-</t>
        </is>
      </c>
      <c r="AD22" s="38" t="inlineStr">
        <is>
          <t>-</t>
        </is>
      </c>
      <c r="AE22" s="38" t="inlineStr">
        <is>
          <t>-</t>
        </is>
      </c>
      <c r="AF22" s="38" t="inlineStr">
        <is>
          <t>-</t>
        </is>
      </c>
      <c r="AG22" s="39">
        <f>COUNTIF(B22:AF22, "P")</f>
        <v/>
      </c>
      <c r="AH22" s="15">
        <f>COUNTIF(B22:AF22, "CL")</f>
        <v/>
      </c>
      <c r="AI22" s="16">
        <f>COUNTIF(B22:AF22, "L")</f>
        <v/>
      </c>
      <c r="AJ22" s="17">
        <f>COUNTIF(B22:AF22, "WO")</f>
        <v/>
      </c>
      <c r="AK22" s="14">
        <f>COUNTIF(B22:AF22, "HO")</f>
        <v/>
      </c>
      <c r="AL22" s="18">
        <f>COUNTIF(B22:AF22, "CF")</f>
        <v/>
      </c>
      <c r="AM22" s="19">
        <f>AG22+AH22+AI22+AL22</f>
        <v/>
      </c>
      <c r="AN22" s="20">
        <f>IF(AM22&gt;0, AG22/AM22, 0)</f>
        <v/>
      </c>
    </row>
    <row r="23" ht="32" customHeight="1">
      <c r="A23" s="35" t="inlineStr">
        <is>
          <t>SAI KUMAR
Employee</t>
        </is>
      </c>
      <c r="B23" s="38" t="inlineStr">
        <is>
          <t>-</t>
        </is>
      </c>
      <c r="C23" s="38" t="inlineStr">
        <is>
          <t>-</t>
        </is>
      </c>
      <c r="D23" s="38" t="inlineStr">
        <is>
          <t>-</t>
        </is>
      </c>
      <c r="E23" s="38" t="inlineStr">
        <is>
          <t>-</t>
        </is>
      </c>
      <c r="F23" s="38" t="inlineStr">
        <is>
          <t>-</t>
        </is>
      </c>
      <c r="G23" s="38" t="inlineStr">
        <is>
          <t>-</t>
        </is>
      </c>
      <c r="H23" s="38" t="inlineStr">
        <is>
          <t>-</t>
        </is>
      </c>
      <c r="I23" s="38" t="inlineStr">
        <is>
          <t>-</t>
        </is>
      </c>
      <c r="J23" s="38" t="inlineStr">
        <is>
          <t>-</t>
        </is>
      </c>
      <c r="K23" s="38" t="inlineStr">
        <is>
          <t>-</t>
        </is>
      </c>
      <c r="L23" s="38" t="inlineStr">
        <is>
          <t>-</t>
        </is>
      </c>
      <c r="M23" s="38" t="inlineStr">
        <is>
          <t>-</t>
        </is>
      </c>
      <c r="N23" s="38" t="inlineStr">
        <is>
          <t>-</t>
        </is>
      </c>
      <c r="O23" s="38" t="inlineStr">
        <is>
          <t>-</t>
        </is>
      </c>
      <c r="P23" s="38" t="inlineStr">
        <is>
          <t>-</t>
        </is>
      </c>
      <c r="Q23" s="38" t="inlineStr">
        <is>
          <t>-</t>
        </is>
      </c>
      <c r="R23" s="38" t="inlineStr">
        <is>
          <t>-</t>
        </is>
      </c>
      <c r="S23" s="38" t="inlineStr">
        <is>
          <t>-</t>
        </is>
      </c>
      <c r="T23" s="38" t="inlineStr">
        <is>
          <t>-</t>
        </is>
      </c>
      <c r="U23" s="38" t="inlineStr">
        <is>
          <t>-</t>
        </is>
      </c>
      <c r="V23" s="38" t="inlineStr">
        <is>
          <t>-</t>
        </is>
      </c>
      <c r="W23" s="38" t="inlineStr">
        <is>
          <t>-</t>
        </is>
      </c>
      <c r="X23" s="38" t="inlineStr">
        <is>
          <t>-</t>
        </is>
      </c>
      <c r="Y23" s="38" t="inlineStr">
        <is>
          <t>-</t>
        </is>
      </c>
      <c r="Z23" s="38" t="inlineStr">
        <is>
          <t>-</t>
        </is>
      </c>
      <c r="AA23" s="38" t="inlineStr">
        <is>
          <t>-</t>
        </is>
      </c>
      <c r="AB23" s="38" t="inlineStr">
        <is>
          <t>-</t>
        </is>
      </c>
      <c r="AC23" s="38" t="inlineStr">
        <is>
          <t>-</t>
        </is>
      </c>
      <c r="AD23" s="38" t="inlineStr">
        <is>
          <t>-</t>
        </is>
      </c>
      <c r="AE23" s="38" t="inlineStr">
        <is>
          <t>-</t>
        </is>
      </c>
      <c r="AF23" s="38" t="inlineStr">
        <is>
          <t>-</t>
        </is>
      </c>
      <c r="AG23" s="39">
        <f>COUNTIF(B23:AF23, "P")</f>
        <v/>
      </c>
      <c r="AH23" s="15">
        <f>COUNTIF(B23:AF23, "CL")</f>
        <v/>
      </c>
      <c r="AI23" s="16">
        <f>COUNTIF(B23:AF23, "L")</f>
        <v/>
      </c>
      <c r="AJ23" s="17">
        <f>COUNTIF(B23:AF23, "WO")</f>
        <v/>
      </c>
      <c r="AK23" s="14">
        <f>COUNTIF(B23:AF23, "HO")</f>
        <v/>
      </c>
      <c r="AL23" s="18">
        <f>COUNTIF(B23:AF23, "CF")</f>
        <v/>
      </c>
      <c r="AM23" s="19">
        <f>AG23+AH23+AI23+AL23</f>
        <v/>
      </c>
      <c r="AN23" s="20">
        <f>IF(AM23&gt;0, AG23/AM23, 0)</f>
        <v/>
      </c>
    </row>
    <row r="24" ht="32" customHeight="1">
      <c r="A24" s="40" t="inlineStr">
        <is>
          <t>VAIDEHI
Employee</t>
        </is>
      </c>
      <c r="B24" s="38" t="inlineStr">
        <is>
          <t>-</t>
        </is>
      </c>
      <c r="C24" s="38" t="inlineStr">
        <is>
          <t>-</t>
        </is>
      </c>
      <c r="D24" s="38" t="inlineStr">
        <is>
          <t>-</t>
        </is>
      </c>
      <c r="E24" s="38" t="inlineStr">
        <is>
          <t>-</t>
        </is>
      </c>
      <c r="F24" s="38" t="inlineStr">
        <is>
          <t>-</t>
        </is>
      </c>
      <c r="G24" s="38" t="inlineStr">
        <is>
          <t>-</t>
        </is>
      </c>
      <c r="H24" s="38" t="inlineStr">
        <is>
          <t>-</t>
        </is>
      </c>
      <c r="I24" s="38" t="inlineStr">
        <is>
          <t>-</t>
        </is>
      </c>
      <c r="J24" s="38" t="inlineStr">
        <is>
          <t>-</t>
        </is>
      </c>
      <c r="K24" s="38" t="inlineStr">
        <is>
          <t>-</t>
        </is>
      </c>
      <c r="L24" s="38" t="inlineStr">
        <is>
          <t>-</t>
        </is>
      </c>
      <c r="M24" s="38" t="inlineStr">
        <is>
          <t>-</t>
        </is>
      </c>
      <c r="N24" s="38" t="inlineStr">
        <is>
          <t>-</t>
        </is>
      </c>
      <c r="O24" s="38" t="inlineStr">
        <is>
          <t>-</t>
        </is>
      </c>
      <c r="P24" s="38" t="inlineStr">
        <is>
          <t>-</t>
        </is>
      </c>
      <c r="Q24" s="38" t="inlineStr">
        <is>
          <t>-</t>
        </is>
      </c>
      <c r="R24" s="38" t="inlineStr">
        <is>
          <t>-</t>
        </is>
      </c>
      <c r="S24" s="38" t="inlineStr">
        <is>
          <t>-</t>
        </is>
      </c>
      <c r="T24" s="38" t="inlineStr">
        <is>
          <t>-</t>
        </is>
      </c>
      <c r="U24" s="38" t="inlineStr">
        <is>
          <t>-</t>
        </is>
      </c>
      <c r="V24" s="38" t="inlineStr">
        <is>
          <t>-</t>
        </is>
      </c>
      <c r="W24" s="38" t="inlineStr">
        <is>
          <t>-</t>
        </is>
      </c>
      <c r="X24" s="38" t="inlineStr">
        <is>
          <t>-</t>
        </is>
      </c>
      <c r="Y24" s="38" t="inlineStr">
        <is>
          <t>-</t>
        </is>
      </c>
      <c r="Z24" s="38" t="inlineStr">
        <is>
          <t>-</t>
        </is>
      </c>
      <c r="AA24" s="38" t="inlineStr">
        <is>
          <t>-</t>
        </is>
      </c>
      <c r="AB24" s="38" t="inlineStr">
        <is>
          <t>-</t>
        </is>
      </c>
      <c r="AC24" s="38" t="inlineStr">
        <is>
          <t>-</t>
        </is>
      </c>
      <c r="AD24" s="38" t="inlineStr">
        <is>
          <t>-</t>
        </is>
      </c>
      <c r="AE24" s="38" t="inlineStr">
        <is>
          <t>-</t>
        </is>
      </c>
      <c r="AF24" s="38" t="inlineStr">
        <is>
          <t>-</t>
        </is>
      </c>
      <c r="AG24" s="39">
        <f>COUNTIF(B24:AF24, "P")</f>
        <v/>
      </c>
      <c r="AH24" s="15">
        <f>COUNTIF(B24:AF24, "CL")</f>
        <v/>
      </c>
      <c r="AI24" s="16">
        <f>COUNTIF(B24:AF24, "L")</f>
        <v/>
      </c>
      <c r="AJ24" s="17">
        <f>COUNTIF(B24:AF24, "WO")</f>
        <v/>
      </c>
      <c r="AK24" s="14">
        <f>COUNTIF(B24:AF24, "HO")</f>
        <v/>
      </c>
      <c r="AL24" s="18">
        <f>COUNTIF(B24:AF24, "CF")</f>
        <v/>
      </c>
      <c r="AM24" s="19">
        <f>AG24+AH24+AI24+AL24</f>
        <v/>
      </c>
      <c r="AN24" s="20">
        <f>IF(AM24&gt;0, AG24/AM24, 0)</f>
        <v/>
      </c>
    </row>
    <row r="25" ht="32" customHeight="1">
      <c r="A25" s="35" t="inlineStr">
        <is>
          <t>VAISHNAVI
Employee</t>
        </is>
      </c>
      <c r="B25" s="38" t="inlineStr">
        <is>
          <t>-</t>
        </is>
      </c>
      <c r="C25" s="38" t="inlineStr">
        <is>
          <t>-</t>
        </is>
      </c>
      <c r="D25" s="38" t="inlineStr">
        <is>
          <t>-</t>
        </is>
      </c>
      <c r="E25" s="38" t="inlineStr">
        <is>
          <t>-</t>
        </is>
      </c>
      <c r="F25" s="38" t="inlineStr">
        <is>
          <t>-</t>
        </is>
      </c>
      <c r="G25" s="38" t="inlineStr">
        <is>
          <t>-</t>
        </is>
      </c>
      <c r="H25" s="38" t="inlineStr">
        <is>
          <t>-</t>
        </is>
      </c>
      <c r="I25" s="38" t="inlineStr">
        <is>
          <t>-</t>
        </is>
      </c>
      <c r="J25" s="38" t="inlineStr">
        <is>
          <t>-</t>
        </is>
      </c>
      <c r="K25" s="38" t="inlineStr">
        <is>
          <t>-</t>
        </is>
      </c>
      <c r="L25" s="38" t="inlineStr">
        <is>
          <t>-</t>
        </is>
      </c>
      <c r="M25" s="38" t="inlineStr">
        <is>
          <t>-</t>
        </is>
      </c>
      <c r="N25" s="38" t="inlineStr">
        <is>
          <t>-</t>
        </is>
      </c>
      <c r="O25" s="38" t="inlineStr">
        <is>
          <t>-</t>
        </is>
      </c>
      <c r="P25" s="38" t="inlineStr">
        <is>
          <t>-</t>
        </is>
      </c>
      <c r="Q25" s="38" t="inlineStr">
        <is>
          <t>-</t>
        </is>
      </c>
      <c r="R25" s="38" t="inlineStr">
        <is>
          <t>-</t>
        </is>
      </c>
      <c r="S25" s="38" t="inlineStr">
        <is>
          <t>-</t>
        </is>
      </c>
      <c r="T25" s="38" t="inlineStr">
        <is>
          <t>-</t>
        </is>
      </c>
      <c r="U25" s="38" t="inlineStr">
        <is>
          <t>-</t>
        </is>
      </c>
      <c r="V25" s="38" t="inlineStr">
        <is>
          <t>-</t>
        </is>
      </c>
      <c r="W25" s="38" t="inlineStr">
        <is>
          <t>-</t>
        </is>
      </c>
      <c r="X25" s="38" t="inlineStr">
        <is>
          <t>-</t>
        </is>
      </c>
      <c r="Y25" s="38" t="inlineStr">
        <is>
          <t>-</t>
        </is>
      </c>
      <c r="Z25" s="38" t="inlineStr">
        <is>
          <t>-</t>
        </is>
      </c>
      <c r="AA25" s="38" t="inlineStr">
        <is>
          <t>-</t>
        </is>
      </c>
      <c r="AB25" s="38" t="inlineStr">
        <is>
          <t>-</t>
        </is>
      </c>
      <c r="AC25" s="38" t="inlineStr">
        <is>
          <t>-</t>
        </is>
      </c>
      <c r="AD25" s="38" t="inlineStr">
        <is>
          <t>-</t>
        </is>
      </c>
      <c r="AE25" s="38" t="inlineStr">
        <is>
          <t>-</t>
        </is>
      </c>
      <c r="AF25" s="38" t="inlineStr">
        <is>
          <t>-</t>
        </is>
      </c>
      <c r="AG25" s="39">
        <f>COUNTIF(B25:AF25, "P")</f>
        <v/>
      </c>
      <c r="AH25" s="15">
        <f>COUNTIF(B25:AF25, "CL")</f>
        <v/>
      </c>
      <c r="AI25" s="16">
        <f>COUNTIF(B25:AF25, "L")</f>
        <v/>
      </c>
      <c r="AJ25" s="17">
        <f>COUNTIF(B25:AF25, "WO")</f>
        <v/>
      </c>
      <c r="AK25" s="14">
        <f>COUNTIF(B25:AF25, "HO")</f>
        <v/>
      </c>
      <c r="AL25" s="18">
        <f>COUNTIF(B25:AF25, "CF")</f>
        <v/>
      </c>
      <c r="AM25" s="19">
        <f>AG25+AH25+AI25+AL25</f>
        <v/>
      </c>
      <c r="AN25" s="20">
        <f>IF(AM25&gt;0, AG25/AM25, 0)</f>
        <v/>
      </c>
    </row>
    <row r="26" ht="32" customHeight="1">
      <c r="A26" s="40" t="inlineStr">
        <is>
          <t>VITTAL
Employee</t>
        </is>
      </c>
      <c r="B26" s="38" t="inlineStr">
        <is>
          <t>-</t>
        </is>
      </c>
      <c r="C26" s="38" t="inlineStr">
        <is>
          <t>-</t>
        </is>
      </c>
      <c r="D26" s="38" t="inlineStr">
        <is>
          <t>-</t>
        </is>
      </c>
      <c r="E26" s="38" t="inlineStr">
        <is>
          <t>-</t>
        </is>
      </c>
      <c r="F26" s="38" t="inlineStr">
        <is>
          <t>-</t>
        </is>
      </c>
      <c r="G26" s="38" t="inlineStr">
        <is>
          <t>-</t>
        </is>
      </c>
      <c r="H26" s="38" t="inlineStr">
        <is>
          <t>-</t>
        </is>
      </c>
      <c r="I26" s="38" t="inlineStr">
        <is>
          <t>-</t>
        </is>
      </c>
      <c r="J26" s="38" t="inlineStr">
        <is>
          <t>-</t>
        </is>
      </c>
      <c r="K26" s="38" t="inlineStr">
        <is>
          <t>-</t>
        </is>
      </c>
      <c r="L26" s="38" t="inlineStr">
        <is>
          <t>-</t>
        </is>
      </c>
      <c r="M26" s="38" t="inlineStr">
        <is>
          <t>-</t>
        </is>
      </c>
      <c r="N26" s="38" t="inlineStr">
        <is>
          <t>-</t>
        </is>
      </c>
      <c r="O26" s="38" t="inlineStr">
        <is>
          <t>-</t>
        </is>
      </c>
      <c r="P26" s="38" t="inlineStr">
        <is>
          <t>-</t>
        </is>
      </c>
      <c r="Q26" s="38" t="inlineStr">
        <is>
          <t>-</t>
        </is>
      </c>
      <c r="R26" s="38" t="inlineStr">
        <is>
          <t>-</t>
        </is>
      </c>
      <c r="S26" s="38" t="inlineStr">
        <is>
          <t>-</t>
        </is>
      </c>
      <c r="T26" s="38" t="inlineStr">
        <is>
          <t>-</t>
        </is>
      </c>
      <c r="U26" s="38" t="inlineStr">
        <is>
          <t>-</t>
        </is>
      </c>
      <c r="V26" s="38" t="inlineStr">
        <is>
          <t>-</t>
        </is>
      </c>
      <c r="W26" s="38" t="inlineStr">
        <is>
          <t>-</t>
        </is>
      </c>
      <c r="X26" s="38" t="inlineStr">
        <is>
          <t>-</t>
        </is>
      </c>
      <c r="Y26" s="38" t="inlineStr">
        <is>
          <t>-</t>
        </is>
      </c>
      <c r="Z26" s="38" t="inlineStr">
        <is>
          <t>-</t>
        </is>
      </c>
      <c r="AA26" s="38" t="inlineStr">
        <is>
          <t>-</t>
        </is>
      </c>
      <c r="AB26" s="38" t="inlineStr">
        <is>
          <t>-</t>
        </is>
      </c>
      <c r="AC26" s="38" t="inlineStr">
        <is>
          <t>-</t>
        </is>
      </c>
      <c r="AD26" s="38" t="inlineStr">
        <is>
          <t>-</t>
        </is>
      </c>
      <c r="AE26" s="38" t="inlineStr">
        <is>
          <t>-</t>
        </is>
      </c>
      <c r="AF26" s="38" t="inlineStr">
        <is>
          <t>-</t>
        </is>
      </c>
      <c r="AG26" s="39">
        <f>COUNTIF(B26:AF26, "P")</f>
        <v/>
      </c>
      <c r="AH26" s="15">
        <f>COUNTIF(B26:AF26, "CL")</f>
        <v/>
      </c>
      <c r="AI26" s="16">
        <f>COUNTIF(B26:AF26, "L")</f>
        <v/>
      </c>
      <c r="AJ26" s="17">
        <f>COUNTIF(B26:AF26, "WO")</f>
        <v/>
      </c>
      <c r="AK26" s="14">
        <f>COUNTIF(B26:AF26, "HO")</f>
        <v/>
      </c>
      <c r="AL26" s="18">
        <f>COUNTIF(B26:AF26, "CF")</f>
        <v/>
      </c>
      <c r="AM26" s="19">
        <f>AG26+AH26+AI26+AL26</f>
        <v/>
      </c>
      <c r="AN26" s="20">
        <f>IF(AM26&gt;0, AG26/AM26, 0)</f>
        <v/>
      </c>
    </row>
    <row r="27" ht="30" customHeight="1">
      <c r="A27" s="44" t="inlineStr">
        <is>
          <t>Overall Staff Total / Daily Present</t>
        </is>
      </c>
      <c r="B27" s="45">
        <f>COUNTIF(B5:B26, "P")</f>
        <v/>
      </c>
      <c r="C27" s="45">
        <f>COUNTIF(C5:C26, "P")</f>
        <v/>
      </c>
      <c r="D27" s="45">
        <f>COUNTIF(D5:D26, "P")</f>
        <v/>
      </c>
      <c r="E27" s="45">
        <f>COUNTIF(E5:E26, "P")</f>
        <v/>
      </c>
      <c r="F27" s="45">
        <f>COUNTIF(F5:F26, "P")</f>
        <v/>
      </c>
      <c r="G27" s="45">
        <f>COUNTIF(G5:G26, "P")</f>
        <v/>
      </c>
      <c r="H27" s="45">
        <f>COUNTIF(H5:H26, "P")</f>
        <v/>
      </c>
      <c r="I27" s="45">
        <f>COUNTIF(I5:I26, "P")</f>
        <v/>
      </c>
      <c r="J27" s="45">
        <f>COUNTIF(J5:J26, "P")</f>
        <v/>
      </c>
      <c r="K27" s="45">
        <f>COUNTIF(K5:K26, "P")</f>
        <v/>
      </c>
      <c r="L27" s="45">
        <f>COUNTIF(L5:L26, "P")</f>
        <v/>
      </c>
      <c r="M27" s="45">
        <f>COUNTIF(M5:M26, "P")</f>
        <v/>
      </c>
      <c r="N27" s="45">
        <f>COUNTIF(N5:N26, "P")</f>
        <v/>
      </c>
      <c r="O27" s="45">
        <f>COUNTIF(O5:O26, "P")</f>
        <v/>
      </c>
      <c r="P27" s="45">
        <f>COUNTIF(P5:P26, "P")</f>
        <v/>
      </c>
      <c r="Q27" s="45">
        <f>COUNTIF(Q5:Q26, "P")</f>
        <v/>
      </c>
      <c r="R27" s="45">
        <f>COUNTIF(R5:R26, "P")</f>
        <v/>
      </c>
      <c r="S27" s="45">
        <f>COUNTIF(S5:S26, "P")</f>
        <v/>
      </c>
      <c r="T27" s="45">
        <f>COUNTIF(T5:T26, "P")</f>
        <v/>
      </c>
      <c r="U27" s="45">
        <f>COUNTIF(U5:U26, "P")</f>
        <v/>
      </c>
      <c r="V27" s="45">
        <f>COUNTIF(V5:V26, "P")</f>
        <v/>
      </c>
      <c r="W27" s="45">
        <f>COUNTIF(W5:W26, "P")</f>
        <v/>
      </c>
      <c r="X27" s="45">
        <f>COUNTIF(X5:X26, "P")</f>
        <v/>
      </c>
      <c r="Y27" s="45">
        <f>COUNTIF(Y5:Y26, "P")</f>
        <v/>
      </c>
      <c r="Z27" s="45">
        <f>COUNTIF(Z5:Z26, "P")</f>
        <v/>
      </c>
      <c r="AA27" s="45">
        <f>COUNTIF(AA5:AA26, "P")</f>
        <v/>
      </c>
      <c r="AB27" s="45">
        <f>COUNTIF(AB5:AB26, "P")</f>
        <v/>
      </c>
      <c r="AC27" s="45">
        <f>COUNTIF(AC5:AC26, "P")</f>
        <v/>
      </c>
      <c r="AD27" s="45">
        <f>COUNTIF(AD5:AD26, "P")</f>
        <v/>
      </c>
      <c r="AE27" s="45">
        <f>COUNTIF(AE5:AE26, "P")</f>
        <v/>
      </c>
      <c r="AF27" s="45">
        <f>COUNTIF(AF5:AF26, "P")</f>
        <v/>
      </c>
      <c r="AG27" s="46">
        <f>SUM(AG5:AG26)</f>
        <v/>
      </c>
      <c r="AH27" s="46">
        <f>SUM(AH5:AH26)</f>
        <v/>
      </c>
      <c r="AI27" s="46">
        <f>SUM(AI5:AI26)</f>
        <v/>
      </c>
      <c r="AJ27" s="46">
        <f>SUM(AJ5:AJ26)</f>
        <v/>
      </c>
      <c r="AK27" s="46">
        <f>SUM(AK5:AK26)</f>
        <v/>
      </c>
      <c r="AL27" s="46">
        <f>SUM(AL5:AL26)</f>
        <v/>
      </c>
      <c r="AM27" s="46">
        <f>SUM(AM5:AM26)</f>
        <v/>
      </c>
      <c r="AN27" s="24">
        <f>IF(AM27&gt;0, AG27/AM27, 0)</f>
        <v/>
      </c>
    </row>
  </sheetData>
  <mergeCells count="2">
    <mergeCell ref="A2:AN2"/>
    <mergeCell ref="A1:A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2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11" customWidth="1" min="39" max="39"/>
    <col width="14" customWidth="1" min="40" max="40"/>
  </cols>
  <sheetData>
    <row r="1" ht="36" customHeight="1">
      <c r="A1" s="25" t="inlineStr">
        <is>
          <t>VASUS ATTENDANCE TRACKER — DECEMBER 2025</t>
        </is>
      </c>
    </row>
    <row r="2" ht="24" customHeight="1">
      <c r="A2" s="2" t="inlineStr">
        <is>
          <t>Status Codes:  [P] Present (Green)  |  [CL] Casual Leave (Teal)  |  [L] Leave (Red)  |  [WO] Week Off (Purple)  |  [HO] Holiday (Mint)  |  [CF] Comp Off (Pink)  |  [-] Blank</t>
        </is>
      </c>
    </row>
    <row r="3" ht="10" customHeight="1"/>
    <row r="4" ht="36" customHeight="1">
      <c r="A4" s="26" t="inlineStr">
        <is>
          <t>Employee / Doctor</t>
        </is>
      </c>
      <c r="B4" s="27" t="inlineStr">
        <is>
          <t>1
Mon</t>
        </is>
      </c>
      <c r="C4" s="27" t="inlineStr">
        <is>
          <t>2
Tue</t>
        </is>
      </c>
      <c r="D4" s="27" t="inlineStr">
        <is>
          <t>3
Wed</t>
        </is>
      </c>
      <c r="E4" s="27" t="inlineStr">
        <is>
          <t>4
Thu</t>
        </is>
      </c>
      <c r="F4" s="27" t="inlineStr">
        <is>
          <t>5
Fri</t>
        </is>
      </c>
      <c r="G4" s="27" t="inlineStr">
        <is>
          <t>6
Sat</t>
        </is>
      </c>
      <c r="H4" s="27" t="inlineStr">
        <is>
          <t>7
Sun</t>
        </is>
      </c>
      <c r="I4" s="27" t="inlineStr">
        <is>
          <t>8
Mon</t>
        </is>
      </c>
      <c r="J4" s="27" t="inlineStr">
        <is>
          <t>9
Tue</t>
        </is>
      </c>
      <c r="K4" s="27" t="inlineStr">
        <is>
          <t>10
Wed</t>
        </is>
      </c>
      <c r="L4" s="27" t="inlineStr">
        <is>
          <t>11
Thu</t>
        </is>
      </c>
      <c r="M4" s="27" t="inlineStr">
        <is>
          <t>12
Fri</t>
        </is>
      </c>
      <c r="N4" s="27" t="inlineStr">
        <is>
          <t>13
Sat</t>
        </is>
      </c>
      <c r="O4" s="27" t="inlineStr">
        <is>
          <t>14
Sun</t>
        </is>
      </c>
      <c r="P4" s="27" t="inlineStr">
        <is>
          <t>15
Mon</t>
        </is>
      </c>
      <c r="Q4" s="27" t="inlineStr">
        <is>
          <t>16
Tue</t>
        </is>
      </c>
      <c r="R4" s="27" t="inlineStr">
        <is>
          <t>17
Wed</t>
        </is>
      </c>
      <c r="S4" s="27" t="inlineStr">
        <is>
          <t>18
Thu</t>
        </is>
      </c>
      <c r="T4" s="27" t="inlineStr">
        <is>
          <t>19
Fri</t>
        </is>
      </c>
      <c r="U4" s="27" t="inlineStr">
        <is>
          <t>20
Sat</t>
        </is>
      </c>
      <c r="V4" s="27" t="inlineStr">
        <is>
          <t>21
Sun</t>
        </is>
      </c>
      <c r="W4" s="27" t="inlineStr">
        <is>
          <t>22
Mon</t>
        </is>
      </c>
      <c r="X4" s="27" t="inlineStr">
        <is>
          <t>23
Tue</t>
        </is>
      </c>
      <c r="Y4" s="27" t="inlineStr">
        <is>
          <t>24
Wed</t>
        </is>
      </c>
      <c r="Z4" s="27" t="inlineStr">
        <is>
          <t>25
Thu</t>
        </is>
      </c>
      <c r="AA4" s="27" t="inlineStr">
        <is>
          <t>26
Fri</t>
        </is>
      </c>
      <c r="AB4" s="27" t="inlineStr">
        <is>
          <t>27
Sat</t>
        </is>
      </c>
      <c r="AC4" s="27" t="inlineStr">
        <is>
          <t>28
Sun</t>
        </is>
      </c>
      <c r="AD4" s="27" t="inlineStr">
        <is>
          <t>29
Mon</t>
        </is>
      </c>
      <c r="AE4" s="27" t="inlineStr">
        <is>
          <t>30
Tue</t>
        </is>
      </c>
      <c r="AF4" s="27" t="inlineStr">
        <is>
          <t>31
Wed</t>
        </is>
      </c>
      <c r="AG4" s="28" t="inlineStr">
        <is>
          <t>P</t>
        </is>
      </c>
      <c r="AH4" s="29" t="inlineStr">
        <is>
          <t>CL</t>
        </is>
      </c>
      <c r="AI4" s="30" t="inlineStr">
        <is>
          <t>L</t>
        </is>
      </c>
      <c r="AJ4" s="31" t="inlineStr">
        <is>
          <t>WO</t>
        </is>
      </c>
      <c r="AK4" s="32" t="inlineStr">
        <is>
          <t>HO</t>
        </is>
      </c>
      <c r="AL4" s="33" t="inlineStr">
        <is>
          <t>CF</t>
        </is>
      </c>
      <c r="AM4" s="27" t="inlineStr">
        <is>
          <t>Working
Days</t>
        </is>
      </c>
      <c r="AN4" s="34" t="inlineStr">
        <is>
          <t>Attendance
%</t>
        </is>
      </c>
    </row>
    <row r="5" ht="32" customHeight="1">
      <c r="A5" s="35" t="inlineStr">
        <is>
          <t>DR CHINJU
Doctor</t>
        </is>
      </c>
      <c r="B5" s="36" t="inlineStr">
        <is>
          <t>P</t>
        </is>
      </c>
      <c r="C5" s="36" t="inlineStr">
        <is>
          <t>P</t>
        </is>
      </c>
      <c r="D5" s="36" t="inlineStr">
        <is>
          <t>P</t>
        </is>
      </c>
      <c r="E5" s="36" t="inlineStr">
        <is>
          <t>P</t>
        </is>
      </c>
      <c r="F5" s="37" t="inlineStr">
        <is>
          <t>WO</t>
        </is>
      </c>
      <c r="G5" s="36" t="inlineStr">
        <is>
          <t>P</t>
        </is>
      </c>
      <c r="H5" s="36" t="inlineStr">
        <is>
          <t>P</t>
        </is>
      </c>
      <c r="I5" s="36" t="inlineStr">
        <is>
          <t>P</t>
        </is>
      </c>
      <c r="J5" s="36" t="inlineStr">
        <is>
          <t>P</t>
        </is>
      </c>
      <c r="K5" s="36" t="inlineStr">
        <is>
          <t>P</t>
        </is>
      </c>
      <c r="L5" s="36" t="inlineStr">
        <is>
          <t>P</t>
        </is>
      </c>
      <c r="M5" s="37" t="inlineStr">
        <is>
          <t>WO</t>
        </is>
      </c>
      <c r="N5" s="36" t="inlineStr">
        <is>
          <t>P</t>
        </is>
      </c>
      <c r="O5" s="36" t="inlineStr">
        <is>
          <t>P</t>
        </is>
      </c>
      <c r="P5" s="36" t="inlineStr">
        <is>
          <t>P</t>
        </is>
      </c>
      <c r="Q5" s="36" t="inlineStr">
        <is>
          <t>P</t>
        </is>
      </c>
      <c r="R5" s="36" t="inlineStr">
        <is>
          <t>P</t>
        </is>
      </c>
      <c r="S5" s="36" t="inlineStr">
        <is>
          <t>P</t>
        </is>
      </c>
      <c r="T5" s="37" t="inlineStr">
        <is>
          <t>WO</t>
        </is>
      </c>
      <c r="U5" s="36" t="inlineStr">
        <is>
          <t>P</t>
        </is>
      </c>
      <c r="V5" s="36" t="inlineStr">
        <is>
          <t>P</t>
        </is>
      </c>
      <c r="W5" s="36" t="inlineStr">
        <is>
          <t>P</t>
        </is>
      </c>
      <c r="X5" s="36" t="inlineStr">
        <is>
          <t>P</t>
        </is>
      </c>
      <c r="Y5" s="36" t="inlineStr">
        <is>
          <t>P</t>
        </is>
      </c>
      <c r="Z5" s="36" t="inlineStr">
        <is>
          <t>P</t>
        </is>
      </c>
      <c r="AA5" s="37" t="inlineStr">
        <is>
          <t>WO</t>
        </is>
      </c>
      <c r="AB5" s="36" t="inlineStr">
        <is>
          <t>P</t>
        </is>
      </c>
      <c r="AC5" s="36" t="inlineStr">
        <is>
          <t>P</t>
        </is>
      </c>
      <c r="AD5" s="36" t="inlineStr">
        <is>
          <t>P</t>
        </is>
      </c>
      <c r="AE5" s="38" t="inlineStr">
        <is>
          <t>-</t>
        </is>
      </c>
      <c r="AF5" s="38" t="inlineStr">
        <is>
          <t>-</t>
        </is>
      </c>
      <c r="AG5" s="39">
        <f>COUNTIF(B5:AF5, "P")</f>
        <v/>
      </c>
      <c r="AH5" s="15">
        <f>COUNTIF(B5:AF5, "CL")</f>
        <v/>
      </c>
      <c r="AI5" s="16">
        <f>COUNTIF(B5:AF5, "L")</f>
        <v/>
      </c>
      <c r="AJ5" s="17">
        <f>COUNTIF(B5:AF5, "WO")</f>
        <v/>
      </c>
      <c r="AK5" s="14">
        <f>COUNTIF(B5:AF5, "HO")</f>
        <v/>
      </c>
      <c r="AL5" s="18">
        <f>COUNTIF(B5:AF5, "CF")</f>
        <v/>
      </c>
      <c r="AM5" s="19">
        <f>AG5+AH5+AI5+AL5</f>
        <v/>
      </c>
      <c r="AN5" s="20">
        <f>IF(AM5&gt;0, AG5/AM5, 0)</f>
        <v/>
      </c>
    </row>
    <row r="6" ht="32" customHeight="1">
      <c r="A6" s="40" t="inlineStr">
        <is>
          <t>DR BINDU
Doctor</t>
        </is>
      </c>
      <c r="B6" s="36" t="inlineStr">
        <is>
          <t>P</t>
        </is>
      </c>
      <c r="C6" s="36" t="inlineStr">
        <is>
          <t>P</t>
        </is>
      </c>
      <c r="D6" s="36" t="inlineStr">
        <is>
          <t>P</t>
        </is>
      </c>
      <c r="E6" s="36" t="inlineStr">
        <is>
          <t>P</t>
        </is>
      </c>
      <c r="F6" s="36" t="inlineStr">
        <is>
          <t>P</t>
        </is>
      </c>
      <c r="G6" s="36" t="inlineStr">
        <is>
          <t>P</t>
        </is>
      </c>
      <c r="H6" s="37" t="inlineStr">
        <is>
          <t>WO</t>
        </is>
      </c>
      <c r="I6" s="36" t="inlineStr">
        <is>
          <t>P</t>
        </is>
      </c>
      <c r="J6" s="36" t="inlineStr">
        <is>
          <t>P</t>
        </is>
      </c>
      <c r="K6" s="36" t="inlineStr">
        <is>
          <t>P</t>
        </is>
      </c>
      <c r="L6" s="36" t="inlineStr">
        <is>
          <t>P</t>
        </is>
      </c>
      <c r="M6" s="36" t="inlineStr">
        <is>
          <t>P</t>
        </is>
      </c>
      <c r="N6" s="36" t="inlineStr">
        <is>
          <t>P</t>
        </is>
      </c>
      <c r="O6" s="37" t="inlineStr">
        <is>
          <t>WO</t>
        </is>
      </c>
      <c r="P6" s="36" t="inlineStr">
        <is>
          <t>P</t>
        </is>
      </c>
      <c r="Q6" s="36" t="inlineStr">
        <is>
          <t>P</t>
        </is>
      </c>
      <c r="R6" s="36" t="inlineStr">
        <is>
          <t>P</t>
        </is>
      </c>
      <c r="S6" s="36" t="inlineStr">
        <is>
          <t>P</t>
        </is>
      </c>
      <c r="T6" s="36" t="inlineStr">
        <is>
          <t>P</t>
        </is>
      </c>
      <c r="U6" s="41" t="inlineStr">
        <is>
          <t>CL</t>
        </is>
      </c>
      <c r="V6" s="37" t="inlineStr">
        <is>
          <t>WO</t>
        </is>
      </c>
      <c r="W6" s="36" t="inlineStr">
        <is>
          <t>P</t>
        </is>
      </c>
      <c r="X6" s="36" t="inlineStr">
        <is>
          <t>P</t>
        </is>
      </c>
      <c r="Y6" s="36" t="inlineStr">
        <is>
          <t>P</t>
        </is>
      </c>
      <c r="Z6" s="36" t="inlineStr">
        <is>
          <t>P</t>
        </is>
      </c>
      <c r="AA6" s="36" t="inlineStr">
        <is>
          <t>P</t>
        </is>
      </c>
      <c r="AB6" s="36" t="inlineStr">
        <is>
          <t>P</t>
        </is>
      </c>
      <c r="AC6" s="37" t="inlineStr">
        <is>
          <t>WO</t>
        </is>
      </c>
      <c r="AD6" s="36" t="inlineStr">
        <is>
          <t>P</t>
        </is>
      </c>
      <c r="AE6" s="38" t="inlineStr">
        <is>
          <t>-</t>
        </is>
      </c>
      <c r="AF6" s="38" t="inlineStr">
        <is>
          <t>-</t>
        </is>
      </c>
      <c r="AG6" s="39">
        <f>COUNTIF(B6:AF6, "P")</f>
        <v/>
      </c>
      <c r="AH6" s="15">
        <f>COUNTIF(B6:AF6, "CL")</f>
        <v/>
      </c>
      <c r="AI6" s="16">
        <f>COUNTIF(B6:AF6, "L")</f>
        <v/>
      </c>
      <c r="AJ6" s="17">
        <f>COUNTIF(B6:AF6, "WO")</f>
        <v/>
      </c>
      <c r="AK6" s="14">
        <f>COUNTIF(B6:AF6, "HO")</f>
        <v/>
      </c>
      <c r="AL6" s="18">
        <f>COUNTIF(B6:AF6, "CF")</f>
        <v/>
      </c>
      <c r="AM6" s="19">
        <f>AG6+AH6+AI6+AL6</f>
        <v/>
      </c>
      <c r="AN6" s="20">
        <f>IF(AM6&gt;0, AG6/AM6, 0)</f>
        <v/>
      </c>
    </row>
    <row r="7" ht="32" customHeight="1">
      <c r="A7" s="35" t="inlineStr">
        <is>
          <t>DR PRANAY
Doctor</t>
        </is>
      </c>
      <c r="B7" s="36" t="inlineStr">
        <is>
          <t>P</t>
        </is>
      </c>
      <c r="C7" s="36" t="inlineStr">
        <is>
          <t>P</t>
        </is>
      </c>
      <c r="D7" s="36" t="inlineStr">
        <is>
          <t>P</t>
        </is>
      </c>
      <c r="E7" s="36" t="inlineStr">
        <is>
          <t>P</t>
        </is>
      </c>
      <c r="F7" s="36" t="inlineStr">
        <is>
          <t>P</t>
        </is>
      </c>
      <c r="G7" s="36" t="inlineStr">
        <is>
          <t>P</t>
        </is>
      </c>
      <c r="H7" s="37" t="inlineStr">
        <is>
          <t>WO</t>
        </is>
      </c>
      <c r="I7" s="41" t="inlineStr">
        <is>
          <t>CL</t>
        </is>
      </c>
      <c r="J7" s="36" t="inlineStr">
        <is>
          <t>P</t>
        </is>
      </c>
      <c r="K7" s="36" t="inlineStr">
        <is>
          <t>P</t>
        </is>
      </c>
      <c r="L7" s="36" t="inlineStr">
        <is>
          <t>P</t>
        </is>
      </c>
      <c r="M7" s="36" t="inlineStr">
        <is>
          <t>P</t>
        </is>
      </c>
      <c r="N7" s="36" t="inlineStr">
        <is>
          <t>P</t>
        </is>
      </c>
      <c r="O7" s="37" t="inlineStr">
        <is>
          <t>WO</t>
        </is>
      </c>
      <c r="P7" s="36" t="inlineStr">
        <is>
          <t>P</t>
        </is>
      </c>
      <c r="Q7" s="36" t="inlineStr">
        <is>
          <t>P</t>
        </is>
      </c>
      <c r="R7" s="36" t="inlineStr">
        <is>
          <t>P</t>
        </is>
      </c>
      <c r="S7" s="36" t="inlineStr">
        <is>
          <t>P</t>
        </is>
      </c>
      <c r="T7" s="36" t="inlineStr">
        <is>
          <t>P</t>
        </is>
      </c>
      <c r="U7" s="36" t="inlineStr">
        <is>
          <t>P</t>
        </is>
      </c>
      <c r="V7" s="37" t="inlineStr">
        <is>
          <t>WO</t>
        </is>
      </c>
      <c r="W7" s="36" t="inlineStr">
        <is>
          <t>P</t>
        </is>
      </c>
      <c r="X7" s="36" t="inlineStr">
        <is>
          <t>P</t>
        </is>
      </c>
      <c r="Y7" s="36" t="inlineStr">
        <is>
          <t>P</t>
        </is>
      </c>
      <c r="Z7" s="36" t="inlineStr">
        <is>
          <t>P</t>
        </is>
      </c>
      <c r="AA7" s="36" t="inlineStr">
        <is>
          <t>P</t>
        </is>
      </c>
      <c r="AB7" s="36" t="inlineStr">
        <is>
          <t>P</t>
        </is>
      </c>
      <c r="AC7" s="37" t="inlineStr">
        <is>
          <t>WO</t>
        </is>
      </c>
      <c r="AD7" s="36" t="inlineStr">
        <is>
          <t>P</t>
        </is>
      </c>
      <c r="AE7" s="38" t="inlineStr">
        <is>
          <t>-</t>
        </is>
      </c>
      <c r="AF7" s="38" t="inlineStr">
        <is>
          <t>-</t>
        </is>
      </c>
      <c r="AG7" s="39">
        <f>COUNTIF(B7:AF7, "P")</f>
        <v/>
      </c>
      <c r="AH7" s="15">
        <f>COUNTIF(B7:AF7, "CL")</f>
        <v/>
      </c>
      <c r="AI7" s="16">
        <f>COUNTIF(B7:AF7, "L")</f>
        <v/>
      </c>
      <c r="AJ7" s="17">
        <f>COUNTIF(B7:AF7, "WO")</f>
        <v/>
      </c>
      <c r="AK7" s="14">
        <f>COUNTIF(B7:AF7, "HO")</f>
        <v/>
      </c>
      <c r="AL7" s="18">
        <f>COUNTIF(B7:AF7, "CF")</f>
        <v/>
      </c>
      <c r="AM7" s="19">
        <f>AG7+AH7+AI7+AL7</f>
        <v/>
      </c>
      <c r="AN7" s="20">
        <f>IF(AM7&gt;0, AG7/AM7, 0)</f>
        <v/>
      </c>
    </row>
    <row r="8" ht="32" customHeight="1">
      <c r="A8" s="40" t="inlineStr">
        <is>
          <t>DR SUNITHA
Doctor</t>
        </is>
      </c>
      <c r="B8" s="36" t="inlineStr">
        <is>
          <t>P</t>
        </is>
      </c>
      <c r="C8" s="36" t="inlineStr">
        <is>
          <t>P</t>
        </is>
      </c>
      <c r="D8" s="36" t="inlineStr">
        <is>
          <t>P</t>
        </is>
      </c>
      <c r="E8" s="41" t="inlineStr">
        <is>
          <t>CL</t>
        </is>
      </c>
      <c r="F8" s="42" t="inlineStr">
        <is>
          <t>L</t>
        </is>
      </c>
      <c r="G8" s="36" t="inlineStr">
        <is>
          <t>P</t>
        </is>
      </c>
      <c r="H8" s="37" t="inlineStr">
        <is>
          <t>WO</t>
        </is>
      </c>
      <c r="I8" s="36" t="inlineStr">
        <is>
          <t>P</t>
        </is>
      </c>
      <c r="J8" s="42" t="inlineStr">
        <is>
          <t>L</t>
        </is>
      </c>
      <c r="K8" s="36" t="inlineStr">
        <is>
          <t>P</t>
        </is>
      </c>
      <c r="L8" s="36" t="inlineStr">
        <is>
          <t>P</t>
        </is>
      </c>
      <c r="M8" s="36" t="inlineStr">
        <is>
          <t>P</t>
        </is>
      </c>
      <c r="N8" s="36" t="inlineStr">
        <is>
          <t>P</t>
        </is>
      </c>
      <c r="O8" s="37" t="inlineStr">
        <is>
          <t>WO</t>
        </is>
      </c>
      <c r="P8" s="36" t="inlineStr">
        <is>
          <t>P</t>
        </is>
      </c>
      <c r="Q8" s="36" t="inlineStr">
        <is>
          <t>P</t>
        </is>
      </c>
      <c r="R8" s="36" t="inlineStr">
        <is>
          <t>P</t>
        </is>
      </c>
      <c r="S8" s="36" t="inlineStr">
        <is>
          <t>P</t>
        </is>
      </c>
      <c r="T8" s="36" t="inlineStr">
        <is>
          <t>P</t>
        </is>
      </c>
      <c r="U8" s="36" t="inlineStr">
        <is>
          <t>P</t>
        </is>
      </c>
      <c r="V8" s="37" t="inlineStr">
        <is>
          <t>WO</t>
        </is>
      </c>
      <c r="W8" s="36" t="inlineStr">
        <is>
          <t>P</t>
        </is>
      </c>
      <c r="X8" s="36" t="inlineStr">
        <is>
          <t>P</t>
        </is>
      </c>
      <c r="Y8" s="36" t="inlineStr">
        <is>
          <t>P</t>
        </is>
      </c>
      <c r="Z8" s="36" t="inlineStr">
        <is>
          <t>P</t>
        </is>
      </c>
      <c r="AA8" s="36" t="inlineStr">
        <is>
          <t>P</t>
        </is>
      </c>
      <c r="AB8" s="36" t="inlineStr">
        <is>
          <t>P</t>
        </is>
      </c>
      <c r="AC8" s="37" t="inlineStr">
        <is>
          <t>WO</t>
        </is>
      </c>
      <c r="AD8" s="36" t="inlineStr">
        <is>
          <t>P</t>
        </is>
      </c>
      <c r="AE8" s="38" t="inlineStr">
        <is>
          <t>-</t>
        </is>
      </c>
      <c r="AF8" s="38" t="inlineStr">
        <is>
          <t>-</t>
        </is>
      </c>
      <c r="AG8" s="39">
        <f>COUNTIF(B8:AF8, "P")</f>
        <v/>
      </c>
      <c r="AH8" s="15">
        <f>COUNTIF(B8:AF8, "CL")</f>
        <v/>
      </c>
      <c r="AI8" s="16">
        <f>COUNTIF(B8:AF8, "L")</f>
        <v/>
      </c>
      <c r="AJ8" s="17">
        <f>COUNTIF(B8:AF8, "WO")</f>
        <v/>
      </c>
      <c r="AK8" s="14">
        <f>COUNTIF(B8:AF8, "HO")</f>
        <v/>
      </c>
      <c r="AL8" s="18">
        <f>COUNTIF(B8:AF8, "CF")</f>
        <v/>
      </c>
      <c r="AM8" s="19">
        <f>AG8+AH8+AI8+AL8</f>
        <v/>
      </c>
      <c r="AN8" s="20">
        <f>IF(AM8&gt;0, AG8/AM8, 0)</f>
        <v/>
      </c>
    </row>
    <row r="9" ht="32" customHeight="1">
      <c r="A9" s="35" t="inlineStr">
        <is>
          <t>DR VARUN
Doctor</t>
        </is>
      </c>
      <c r="B9" s="38" t="inlineStr">
        <is>
          <t>-</t>
        </is>
      </c>
      <c r="C9" s="38" t="inlineStr">
        <is>
          <t>-</t>
        </is>
      </c>
      <c r="D9" s="38" t="inlineStr">
        <is>
          <t>-</t>
        </is>
      </c>
      <c r="E9" s="38" t="inlineStr">
        <is>
          <t>-</t>
        </is>
      </c>
      <c r="F9" s="38" t="inlineStr">
        <is>
          <t>-</t>
        </is>
      </c>
      <c r="G9" s="38" t="inlineStr">
        <is>
          <t>-</t>
        </is>
      </c>
      <c r="H9" s="38" t="inlineStr">
        <is>
          <t>-</t>
        </is>
      </c>
      <c r="I9" s="38" t="inlineStr">
        <is>
          <t>-</t>
        </is>
      </c>
      <c r="J9" s="38" t="inlineStr">
        <is>
          <t>-</t>
        </is>
      </c>
      <c r="K9" s="38" t="inlineStr">
        <is>
          <t>-</t>
        </is>
      </c>
      <c r="L9" s="38" t="inlineStr">
        <is>
          <t>-</t>
        </is>
      </c>
      <c r="M9" s="38" t="inlineStr">
        <is>
          <t>-</t>
        </is>
      </c>
      <c r="N9" s="38" t="inlineStr">
        <is>
          <t>-</t>
        </is>
      </c>
      <c r="O9" s="38" t="inlineStr">
        <is>
          <t>-</t>
        </is>
      </c>
      <c r="P9" s="38" t="inlineStr">
        <is>
          <t>-</t>
        </is>
      </c>
      <c r="Q9" s="38" t="inlineStr">
        <is>
          <t>-</t>
        </is>
      </c>
      <c r="R9" s="38" t="inlineStr">
        <is>
          <t>-</t>
        </is>
      </c>
      <c r="S9" s="38" t="inlineStr">
        <is>
          <t>-</t>
        </is>
      </c>
      <c r="T9" s="38" t="inlineStr">
        <is>
          <t>-</t>
        </is>
      </c>
      <c r="U9" s="38" t="inlineStr">
        <is>
          <t>-</t>
        </is>
      </c>
      <c r="V9" s="38" t="inlineStr">
        <is>
          <t>-</t>
        </is>
      </c>
      <c r="W9" s="38" t="inlineStr">
        <is>
          <t>-</t>
        </is>
      </c>
      <c r="X9" s="38" t="inlineStr">
        <is>
          <t>-</t>
        </is>
      </c>
      <c r="Y9" s="38" t="inlineStr">
        <is>
          <t>-</t>
        </is>
      </c>
      <c r="Z9" s="38" t="inlineStr">
        <is>
          <t>-</t>
        </is>
      </c>
      <c r="AA9" s="38" t="inlineStr">
        <is>
          <t>-</t>
        </is>
      </c>
      <c r="AB9" s="38" t="inlineStr">
        <is>
          <t>-</t>
        </is>
      </c>
      <c r="AC9" s="38" t="inlineStr">
        <is>
          <t>-</t>
        </is>
      </c>
      <c r="AD9" s="38" t="inlineStr">
        <is>
          <t>-</t>
        </is>
      </c>
      <c r="AE9" s="38" t="inlineStr">
        <is>
          <t>-</t>
        </is>
      </c>
      <c r="AF9" s="38" t="inlineStr">
        <is>
          <t>-</t>
        </is>
      </c>
      <c r="AG9" s="39">
        <f>COUNTIF(B9:AF9, "P")</f>
        <v/>
      </c>
      <c r="AH9" s="15">
        <f>COUNTIF(B9:AF9, "CL")</f>
        <v/>
      </c>
      <c r="AI9" s="16">
        <f>COUNTIF(B9:AF9, "L")</f>
        <v/>
      </c>
      <c r="AJ9" s="17">
        <f>COUNTIF(B9:AF9, "WO")</f>
        <v/>
      </c>
      <c r="AK9" s="14">
        <f>COUNTIF(B9:AF9, "HO")</f>
        <v/>
      </c>
      <c r="AL9" s="18">
        <f>COUNTIF(B9:AF9, "CF")</f>
        <v/>
      </c>
      <c r="AM9" s="19">
        <f>AG9+AH9+AI9+AL9</f>
        <v/>
      </c>
      <c r="AN9" s="20">
        <f>IF(AM9&gt;0, AG9/AM9, 0)</f>
        <v/>
      </c>
    </row>
    <row r="10" ht="32" customHeight="1">
      <c r="A10" s="40" t="inlineStr">
        <is>
          <t>NEELIMA
Employee</t>
        </is>
      </c>
      <c r="B10" s="36" t="inlineStr">
        <is>
          <t>P</t>
        </is>
      </c>
      <c r="C10" s="36" t="inlineStr">
        <is>
          <t>P</t>
        </is>
      </c>
      <c r="D10" s="36" t="inlineStr">
        <is>
          <t>P</t>
        </is>
      </c>
      <c r="E10" s="36" t="inlineStr">
        <is>
          <t>P</t>
        </is>
      </c>
      <c r="F10" s="36" t="inlineStr">
        <is>
          <t>P</t>
        </is>
      </c>
      <c r="G10" s="36" t="inlineStr">
        <is>
          <t>P</t>
        </is>
      </c>
      <c r="H10" s="37" t="inlineStr">
        <is>
          <t>WO</t>
        </is>
      </c>
      <c r="I10" s="36" t="inlineStr">
        <is>
          <t>P</t>
        </is>
      </c>
      <c r="J10" s="36" t="inlineStr">
        <is>
          <t>P</t>
        </is>
      </c>
      <c r="K10" s="36" t="inlineStr">
        <is>
          <t>P</t>
        </is>
      </c>
      <c r="L10" s="36" t="inlineStr">
        <is>
          <t>P</t>
        </is>
      </c>
      <c r="M10" s="36" t="inlineStr">
        <is>
          <t>P</t>
        </is>
      </c>
      <c r="N10" s="36" t="inlineStr">
        <is>
          <t>P</t>
        </is>
      </c>
      <c r="O10" s="37" t="inlineStr">
        <is>
          <t>WO</t>
        </is>
      </c>
      <c r="P10" s="36" t="inlineStr">
        <is>
          <t>P</t>
        </is>
      </c>
      <c r="Q10" s="36" t="inlineStr">
        <is>
          <t>P</t>
        </is>
      </c>
      <c r="R10" s="36" t="inlineStr">
        <is>
          <t>P</t>
        </is>
      </c>
      <c r="S10" s="36" t="inlineStr">
        <is>
          <t>P</t>
        </is>
      </c>
      <c r="T10" s="36" t="inlineStr">
        <is>
          <t>P</t>
        </is>
      </c>
      <c r="U10" s="36" t="inlineStr">
        <is>
          <t>P</t>
        </is>
      </c>
      <c r="V10" s="37" t="inlineStr">
        <is>
          <t>WO</t>
        </is>
      </c>
      <c r="W10" s="36" t="inlineStr">
        <is>
          <t>P</t>
        </is>
      </c>
      <c r="X10" s="36" t="inlineStr">
        <is>
          <t>P</t>
        </is>
      </c>
      <c r="Y10" s="36" t="inlineStr">
        <is>
          <t>P</t>
        </is>
      </c>
      <c r="Z10" s="36" t="inlineStr">
        <is>
          <t>P</t>
        </is>
      </c>
      <c r="AA10" s="36" t="inlineStr">
        <is>
          <t>P</t>
        </is>
      </c>
      <c r="AB10" s="36" t="inlineStr">
        <is>
          <t>P</t>
        </is>
      </c>
      <c r="AC10" s="37" t="inlineStr">
        <is>
          <t>WO</t>
        </is>
      </c>
      <c r="AD10" s="36" t="inlineStr">
        <is>
          <t>P</t>
        </is>
      </c>
      <c r="AE10" s="38" t="inlineStr">
        <is>
          <t>-</t>
        </is>
      </c>
      <c r="AF10" s="38" t="inlineStr">
        <is>
          <t>-</t>
        </is>
      </c>
      <c r="AG10" s="39">
        <f>COUNTIF(B10:AF10, "P")</f>
        <v/>
      </c>
      <c r="AH10" s="15">
        <f>COUNTIF(B10:AF10, "CL")</f>
        <v/>
      </c>
      <c r="AI10" s="16">
        <f>COUNTIF(B10:AF10, "L")</f>
        <v/>
      </c>
      <c r="AJ10" s="17">
        <f>COUNTIF(B10:AF10, "WO")</f>
        <v/>
      </c>
      <c r="AK10" s="14">
        <f>COUNTIF(B10:AF10, "HO")</f>
        <v/>
      </c>
      <c r="AL10" s="18">
        <f>COUNTIF(B10:AF10, "CF")</f>
        <v/>
      </c>
      <c r="AM10" s="19">
        <f>AG10+AH10+AI10+AL10</f>
        <v/>
      </c>
      <c r="AN10" s="20">
        <f>IF(AM10&gt;0, AG10/AM10, 0)</f>
        <v/>
      </c>
    </row>
    <row r="11" ht="32" customHeight="1">
      <c r="A11" s="35" t="inlineStr">
        <is>
          <t>RAMESH
Employee</t>
        </is>
      </c>
      <c r="B11" s="36" t="inlineStr">
        <is>
          <t>P</t>
        </is>
      </c>
      <c r="C11" s="36" t="inlineStr">
        <is>
          <t>P</t>
        </is>
      </c>
      <c r="D11" s="36" t="inlineStr">
        <is>
          <t>P</t>
        </is>
      </c>
      <c r="E11" s="36" t="inlineStr">
        <is>
          <t>P</t>
        </is>
      </c>
      <c r="F11" s="36" t="inlineStr">
        <is>
          <t>P</t>
        </is>
      </c>
      <c r="G11" s="36" t="inlineStr">
        <is>
          <t>P</t>
        </is>
      </c>
      <c r="H11" s="37" t="inlineStr">
        <is>
          <t>WO</t>
        </is>
      </c>
      <c r="I11" s="36" t="inlineStr">
        <is>
          <t>P</t>
        </is>
      </c>
      <c r="J11" s="36" t="inlineStr">
        <is>
          <t>P</t>
        </is>
      </c>
      <c r="K11" s="36" t="inlineStr">
        <is>
          <t>P</t>
        </is>
      </c>
      <c r="L11" s="36" t="inlineStr">
        <is>
          <t>P</t>
        </is>
      </c>
      <c r="M11" s="36" t="inlineStr">
        <is>
          <t>P</t>
        </is>
      </c>
      <c r="N11" s="36" t="inlineStr">
        <is>
          <t>P</t>
        </is>
      </c>
      <c r="O11" s="37" t="inlineStr">
        <is>
          <t>WO</t>
        </is>
      </c>
      <c r="P11" s="36" t="inlineStr">
        <is>
          <t>P</t>
        </is>
      </c>
      <c r="Q11" s="36" t="inlineStr">
        <is>
          <t>P</t>
        </is>
      </c>
      <c r="R11" s="36" t="inlineStr">
        <is>
          <t>P</t>
        </is>
      </c>
      <c r="S11" s="36" t="inlineStr">
        <is>
          <t>P</t>
        </is>
      </c>
      <c r="T11" s="36" t="inlineStr">
        <is>
          <t>P</t>
        </is>
      </c>
      <c r="U11" s="36" t="inlineStr">
        <is>
          <t>P</t>
        </is>
      </c>
      <c r="V11" s="37" t="inlineStr">
        <is>
          <t>WO</t>
        </is>
      </c>
      <c r="W11" s="36" t="inlineStr">
        <is>
          <t>P</t>
        </is>
      </c>
      <c r="X11" s="36" t="inlineStr">
        <is>
          <t>P</t>
        </is>
      </c>
      <c r="Y11" s="36" t="inlineStr">
        <is>
          <t>P</t>
        </is>
      </c>
      <c r="Z11" s="36" t="inlineStr">
        <is>
          <t>P</t>
        </is>
      </c>
      <c r="AA11" s="36" t="inlineStr">
        <is>
          <t>P</t>
        </is>
      </c>
      <c r="AB11" s="36" t="inlineStr">
        <is>
          <t>P</t>
        </is>
      </c>
      <c r="AC11" s="37" t="inlineStr">
        <is>
          <t>WO</t>
        </is>
      </c>
      <c r="AD11" s="36" t="inlineStr">
        <is>
          <t>P</t>
        </is>
      </c>
      <c r="AE11" s="38" t="inlineStr">
        <is>
          <t>-</t>
        </is>
      </c>
      <c r="AF11" s="38" t="inlineStr">
        <is>
          <t>-</t>
        </is>
      </c>
      <c r="AG11" s="39">
        <f>COUNTIF(B11:AF11, "P")</f>
        <v/>
      </c>
      <c r="AH11" s="15">
        <f>COUNTIF(B11:AF11, "CL")</f>
        <v/>
      </c>
      <c r="AI11" s="16">
        <f>COUNTIF(B11:AF11, "L")</f>
        <v/>
      </c>
      <c r="AJ11" s="17">
        <f>COUNTIF(B11:AF11, "WO")</f>
        <v/>
      </c>
      <c r="AK11" s="14">
        <f>COUNTIF(B11:AF11, "HO")</f>
        <v/>
      </c>
      <c r="AL11" s="18">
        <f>COUNTIF(B11:AF11, "CF")</f>
        <v/>
      </c>
      <c r="AM11" s="19">
        <f>AG11+AH11+AI11+AL11</f>
        <v/>
      </c>
      <c r="AN11" s="20">
        <f>IF(AM11&gt;0, AG11/AM11, 0)</f>
        <v/>
      </c>
    </row>
    <row r="12" ht="32" customHeight="1">
      <c r="A12" s="40" t="inlineStr">
        <is>
          <t>LAXMINARAYANA
Employee</t>
        </is>
      </c>
      <c r="B12" s="36" t="inlineStr">
        <is>
          <t>P</t>
        </is>
      </c>
      <c r="C12" s="36" t="inlineStr">
        <is>
          <t>P</t>
        </is>
      </c>
      <c r="D12" s="36" t="inlineStr">
        <is>
          <t>P</t>
        </is>
      </c>
      <c r="E12" s="36" t="inlineStr">
        <is>
          <t>P</t>
        </is>
      </c>
      <c r="F12" s="36" t="inlineStr">
        <is>
          <t>P</t>
        </is>
      </c>
      <c r="G12" s="36" t="inlineStr">
        <is>
          <t>P</t>
        </is>
      </c>
      <c r="H12" s="37" t="inlineStr">
        <is>
          <t>WO</t>
        </is>
      </c>
      <c r="I12" s="36" t="inlineStr">
        <is>
          <t>P</t>
        </is>
      </c>
      <c r="J12" s="36" t="inlineStr">
        <is>
          <t>P</t>
        </is>
      </c>
      <c r="K12" s="36" t="inlineStr">
        <is>
          <t>P</t>
        </is>
      </c>
      <c r="L12" s="36" t="inlineStr">
        <is>
          <t>P</t>
        </is>
      </c>
      <c r="M12" s="36" t="inlineStr">
        <is>
          <t>P</t>
        </is>
      </c>
      <c r="N12" s="36" t="inlineStr">
        <is>
          <t>P</t>
        </is>
      </c>
      <c r="O12" s="37" t="inlineStr">
        <is>
          <t>WO</t>
        </is>
      </c>
      <c r="P12" s="36" t="inlineStr">
        <is>
          <t>P</t>
        </is>
      </c>
      <c r="Q12" s="36" t="inlineStr">
        <is>
          <t>P</t>
        </is>
      </c>
      <c r="R12" s="36" t="inlineStr">
        <is>
          <t>P</t>
        </is>
      </c>
      <c r="S12" s="36" t="inlineStr">
        <is>
          <t>P</t>
        </is>
      </c>
      <c r="T12" s="36" t="inlineStr">
        <is>
          <t>P</t>
        </is>
      </c>
      <c r="U12" s="36" t="inlineStr">
        <is>
          <t>P</t>
        </is>
      </c>
      <c r="V12" s="37" t="inlineStr">
        <is>
          <t>WO</t>
        </is>
      </c>
      <c r="W12" s="36" t="inlineStr">
        <is>
          <t>P</t>
        </is>
      </c>
      <c r="X12" s="36" t="inlineStr">
        <is>
          <t>P</t>
        </is>
      </c>
      <c r="Y12" s="41" t="inlineStr">
        <is>
          <t>CL</t>
        </is>
      </c>
      <c r="Z12" s="36" t="inlineStr">
        <is>
          <t>P</t>
        </is>
      </c>
      <c r="AA12" s="36" t="inlineStr">
        <is>
          <t>P</t>
        </is>
      </c>
      <c r="AB12" s="36" t="inlineStr">
        <is>
          <t>P</t>
        </is>
      </c>
      <c r="AC12" s="37" t="inlineStr">
        <is>
          <t>WO</t>
        </is>
      </c>
      <c r="AD12" s="36" t="inlineStr">
        <is>
          <t>P</t>
        </is>
      </c>
      <c r="AE12" s="38" t="inlineStr">
        <is>
          <t>-</t>
        </is>
      </c>
      <c r="AF12" s="38" t="inlineStr">
        <is>
          <t>-</t>
        </is>
      </c>
      <c r="AG12" s="39">
        <f>COUNTIF(B12:AF12, "P")</f>
        <v/>
      </c>
      <c r="AH12" s="15">
        <f>COUNTIF(B12:AF12, "CL")</f>
        <v/>
      </c>
      <c r="AI12" s="16">
        <f>COUNTIF(B12:AF12, "L")</f>
        <v/>
      </c>
      <c r="AJ12" s="17">
        <f>COUNTIF(B12:AF12, "WO")</f>
        <v/>
      </c>
      <c r="AK12" s="14">
        <f>COUNTIF(B12:AF12, "HO")</f>
        <v/>
      </c>
      <c r="AL12" s="18">
        <f>COUNTIF(B12:AF12, "CF")</f>
        <v/>
      </c>
      <c r="AM12" s="19">
        <f>AG12+AH12+AI12+AL12</f>
        <v/>
      </c>
      <c r="AN12" s="20">
        <f>IF(AM12&gt;0, AG12/AM12, 0)</f>
        <v/>
      </c>
    </row>
    <row r="13" ht="32" customHeight="1">
      <c r="A13" s="35" t="inlineStr">
        <is>
          <t>MANI
Employee</t>
        </is>
      </c>
      <c r="B13" s="36" t="inlineStr">
        <is>
          <t>P</t>
        </is>
      </c>
      <c r="C13" s="36" t="inlineStr">
        <is>
          <t>P</t>
        </is>
      </c>
      <c r="D13" s="36" t="inlineStr">
        <is>
          <t>P</t>
        </is>
      </c>
      <c r="E13" s="36" t="inlineStr">
        <is>
          <t>P</t>
        </is>
      </c>
      <c r="F13" s="36" t="inlineStr">
        <is>
          <t>P</t>
        </is>
      </c>
      <c r="G13" s="36" t="inlineStr">
        <is>
          <t>P</t>
        </is>
      </c>
      <c r="H13" s="37" t="inlineStr">
        <is>
          <t>WO</t>
        </is>
      </c>
      <c r="I13" s="36" t="inlineStr">
        <is>
          <t>P</t>
        </is>
      </c>
      <c r="J13" s="36" t="inlineStr">
        <is>
          <t>P</t>
        </is>
      </c>
      <c r="K13" s="36" t="inlineStr">
        <is>
          <t>P</t>
        </is>
      </c>
      <c r="L13" s="36" t="inlineStr">
        <is>
          <t>P</t>
        </is>
      </c>
      <c r="M13" s="36" t="inlineStr">
        <is>
          <t>P</t>
        </is>
      </c>
      <c r="N13" s="36" t="inlineStr">
        <is>
          <t>P</t>
        </is>
      </c>
      <c r="O13" s="37" t="inlineStr">
        <is>
          <t>WO</t>
        </is>
      </c>
      <c r="P13" s="36" t="inlineStr">
        <is>
          <t>P</t>
        </is>
      </c>
      <c r="Q13" s="36" t="inlineStr">
        <is>
          <t>P</t>
        </is>
      </c>
      <c r="R13" s="36" t="inlineStr">
        <is>
          <t>P</t>
        </is>
      </c>
      <c r="S13" s="36" t="inlineStr">
        <is>
          <t>P</t>
        </is>
      </c>
      <c r="T13" s="36" t="inlineStr">
        <is>
          <t>P</t>
        </is>
      </c>
      <c r="U13" s="36" t="inlineStr">
        <is>
          <t>P</t>
        </is>
      </c>
      <c r="V13" s="37" t="inlineStr">
        <is>
          <t>WO</t>
        </is>
      </c>
      <c r="W13" s="36" t="inlineStr">
        <is>
          <t>P</t>
        </is>
      </c>
      <c r="X13" s="36" t="inlineStr">
        <is>
          <t>P</t>
        </is>
      </c>
      <c r="Y13" s="36" t="inlineStr">
        <is>
          <t>P</t>
        </is>
      </c>
      <c r="Z13" s="36" t="inlineStr">
        <is>
          <t>P</t>
        </is>
      </c>
      <c r="AA13" s="41" t="inlineStr">
        <is>
          <t>CL</t>
        </is>
      </c>
      <c r="AB13" s="36" t="inlineStr">
        <is>
          <t>P</t>
        </is>
      </c>
      <c r="AC13" s="37" t="inlineStr">
        <is>
          <t>WO</t>
        </is>
      </c>
      <c r="AD13" s="36" t="inlineStr">
        <is>
          <t>P</t>
        </is>
      </c>
      <c r="AE13" s="38" t="inlineStr">
        <is>
          <t>-</t>
        </is>
      </c>
      <c r="AF13" s="38" t="inlineStr">
        <is>
          <t>-</t>
        </is>
      </c>
      <c r="AG13" s="39">
        <f>COUNTIF(B13:AF13, "P")</f>
        <v/>
      </c>
      <c r="AH13" s="15">
        <f>COUNTIF(B13:AF13, "CL")</f>
        <v/>
      </c>
      <c r="AI13" s="16">
        <f>COUNTIF(B13:AF13, "L")</f>
        <v/>
      </c>
      <c r="AJ13" s="17">
        <f>COUNTIF(B13:AF13, "WO")</f>
        <v/>
      </c>
      <c r="AK13" s="14">
        <f>COUNTIF(B13:AF13, "HO")</f>
        <v/>
      </c>
      <c r="AL13" s="18">
        <f>COUNTIF(B13:AF13, "CF")</f>
        <v/>
      </c>
      <c r="AM13" s="19">
        <f>AG13+AH13+AI13+AL13</f>
        <v/>
      </c>
      <c r="AN13" s="20">
        <f>IF(AM13&gt;0, AG13/AM13, 0)</f>
        <v/>
      </c>
    </row>
    <row r="14" ht="32" customHeight="1">
      <c r="A14" s="40" t="inlineStr">
        <is>
          <t>KAVITHA
Employee</t>
        </is>
      </c>
      <c r="B14" s="36" t="inlineStr">
        <is>
          <t>P</t>
        </is>
      </c>
      <c r="C14" s="36" t="inlineStr">
        <is>
          <t>P</t>
        </is>
      </c>
      <c r="D14" s="36" t="inlineStr">
        <is>
          <t>P</t>
        </is>
      </c>
      <c r="E14" s="36" t="inlineStr">
        <is>
          <t>P</t>
        </is>
      </c>
      <c r="F14" s="36" t="inlineStr">
        <is>
          <t>P</t>
        </is>
      </c>
      <c r="G14" s="36" t="inlineStr">
        <is>
          <t>P</t>
        </is>
      </c>
      <c r="H14" s="37" t="inlineStr">
        <is>
          <t>WO</t>
        </is>
      </c>
      <c r="I14" s="36" t="inlineStr">
        <is>
          <t>P</t>
        </is>
      </c>
      <c r="J14" s="36" t="inlineStr">
        <is>
          <t>P</t>
        </is>
      </c>
      <c r="K14" s="36" t="inlineStr">
        <is>
          <t>P</t>
        </is>
      </c>
      <c r="L14" s="41" t="inlineStr">
        <is>
          <t>CL</t>
        </is>
      </c>
      <c r="M14" s="42" t="inlineStr">
        <is>
          <t>L</t>
        </is>
      </c>
      <c r="N14" s="36" t="inlineStr">
        <is>
          <t>P</t>
        </is>
      </c>
      <c r="O14" s="37" t="inlineStr">
        <is>
          <t>WO</t>
        </is>
      </c>
      <c r="P14" s="36" t="inlineStr">
        <is>
          <t>P</t>
        </is>
      </c>
      <c r="Q14" s="36" t="inlineStr">
        <is>
          <t>P</t>
        </is>
      </c>
      <c r="R14" s="36" t="inlineStr">
        <is>
          <t>P</t>
        </is>
      </c>
      <c r="S14" s="36" t="inlineStr">
        <is>
          <t>P</t>
        </is>
      </c>
      <c r="T14" s="36" t="inlineStr">
        <is>
          <t>P</t>
        </is>
      </c>
      <c r="U14" s="36" t="inlineStr">
        <is>
          <t>P</t>
        </is>
      </c>
      <c r="V14" s="37" t="inlineStr">
        <is>
          <t>WO</t>
        </is>
      </c>
      <c r="W14" s="36" t="inlineStr">
        <is>
          <t>P</t>
        </is>
      </c>
      <c r="X14" s="36" t="inlineStr">
        <is>
          <t>P</t>
        </is>
      </c>
      <c r="Y14" s="36" t="inlineStr">
        <is>
          <t>P</t>
        </is>
      </c>
      <c r="Z14" s="36" t="inlineStr">
        <is>
          <t>P</t>
        </is>
      </c>
      <c r="AA14" s="36" t="inlineStr">
        <is>
          <t>P</t>
        </is>
      </c>
      <c r="AB14" s="36" t="inlineStr">
        <is>
          <t>P</t>
        </is>
      </c>
      <c r="AC14" s="37" t="inlineStr">
        <is>
          <t>WO</t>
        </is>
      </c>
      <c r="AD14" s="36" t="inlineStr">
        <is>
          <t>P</t>
        </is>
      </c>
      <c r="AE14" s="38" t="inlineStr">
        <is>
          <t>-</t>
        </is>
      </c>
      <c r="AF14" s="38" t="inlineStr">
        <is>
          <t>-</t>
        </is>
      </c>
      <c r="AG14" s="39">
        <f>COUNTIF(B14:AF14, "P")</f>
        <v/>
      </c>
      <c r="AH14" s="15">
        <f>COUNTIF(B14:AF14, "CL")</f>
        <v/>
      </c>
      <c r="AI14" s="16">
        <f>COUNTIF(B14:AF14, "L")</f>
        <v/>
      </c>
      <c r="AJ14" s="17">
        <f>COUNTIF(B14:AF14, "WO")</f>
        <v/>
      </c>
      <c r="AK14" s="14">
        <f>COUNTIF(B14:AF14, "HO")</f>
        <v/>
      </c>
      <c r="AL14" s="18">
        <f>COUNTIF(B14:AF14, "CF")</f>
        <v/>
      </c>
      <c r="AM14" s="19">
        <f>AG14+AH14+AI14+AL14</f>
        <v/>
      </c>
      <c r="AN14" s="20">
        <f>IF(AM14&gt;0, AG14/AM14, 0)</f>
        <v/>
      </c>
    </row>
    <row r="15" ht="32" customHeight="1">
      <c r="A15" s="35" t="inlineStr">
        <is>
          <t>VANI
Employee</t>
        </is>
      </c>
      <c r="B15" s="36" t="inlineStr">
        <is>
          <t>P</t>
        </is>
      </c>
      <c r="C15" s="36" t="inlineStr">
        <is>
          <t>P</t>
        </is>
      </c>
      <c r="D15" s="36" t="inlineStr">
        <is>
          <t>P</t>
        </is>
      </c>
      <c r="E15" s="36" t="inlineStr">
        <is>
          <t>P</t>
        </is>
      </c>
      <c r="F15" s="36" t="inlineStr">
        <is>
          <t>P</t>
        </is>
      </c>
      <c r="G15" s="36" t="inlineStr">
        <is>
          <t>P</t>
        </is>
      </c>
      <c r="H15" s="37" t="inlineStr">
        <is>
          <t>WO</t>
        </is>
      </c>
      <c r="I15" s="36" t="inlineStr">
        <is>
          <t>P</t>
        </is>
      </c>
      <c r="J15" s="36" t="inlineStr">
        <is>
          <t>P</t>
        </is>
      </c>
      <c r="K15" s="36" t="inlineStr">
        <is>
          <t>P</t>
        </is>
      </c>
      <c r="L15" s="36" t="inlineStr">
        <is>
          <t>P</t>
        </is>
      </c>
      <c r="M15" s="36" t="inlineStr">
        <is>
          <t>P</t>
        </is>
      </c>
      <c r="N15" s="36" t="inlineStr">
        <is>
          <t>P</t>
        </is>
      </c>
      <c r="O15" s="37" t="inlineStr">
        <is>
          <t>WO</t>
        </is>
      </c>
      <c r="P15" s="36" t="inlineStr">
        <is>
          <t>P</t>
        </is>
      </c>
      <c r="Q15" s="36" t="inlineStr">
        <is>
          <t>P</t>
        </is>
      </c>
      <c r="R15" s="36" t="inlineStr">
        <is>
          <t>P</t>
        </is>
      </c>
      <c r="S15" s="36" t="inlineStr">
        <is>
          <t>P</t>
        </is>
      </c>
      <c r="T15" s="36" t="inlineStr">
        <is>
          <t>P</t>
        </is>
      </c>
      <c r="U15" s="36" t="inlineStr">
        <is>
          <t>P</t>
        </is>
      </c>
      <c r="V15" s="37" t="inlineStr">
        <is>
          <t>WO</t>
        </is>
      </c>
      <c r="W15" s="41" t="inlineStr">
        <is>
          <t>CL</t>
        </is>
      </c>
      <c r="X15" s="42" t="inlineStr">
        <is>
          <t>L</t>
        </is>
      </c>
      <c r="Y15" s="36" t="inlineStr">
        <is>
          <t>P</t>
        </is>
      </c>
      <c r="Z15" s="36" t="inlineStr">
        <is>
          <t>P</t>
        </is>
      </c>
      <c r="AA15" s="36" t="inlineStr">
        <is>
          <t>P</t>
        </is>
      </c>
      <c r="AB15" s="36" t="inlineStr">
        <is>
          <t>P</t>
        </is>
      </c>
      <c r="AC15" s="37" t="inlineStr">
        <is>
          <t>WO</t>
        </is>
      </c>
      <c r="AD15" s="36" t="inlineStr">
        <is>
          <t>P</t>
        </is>
      </c>
      <c r="AE15" s="38" t="inlineStr">
        <is>
          <t>-</t>
        </is>
      </c>
      <c r="AF15" s="38" t="inlineStr">
        <is>
          <t>-</t>
        </is>
      </c>
      <c r="AG15" s="39">
        <f>COUNTIF(B15:AF15, "P")</f>
        <v/>
      </c>
      <c r="AH15" s="15">
        <f>COUNTIF(B15:AF15, "CL")</f>
        <v/>
      </c>
      <c r="AI15" s="16">
        <f>COUNTIF(B15:AF15, "L")</f>
        <v/>
      </c>
      <c r="AJ15" s="17">
        <f>COUNTIF(B15:AF15, "WO")</f>
        <v/>
      </c>
      <c r="AK15" s="14">
        <f>COUNTIF(B15:AF15, "HO")</f>
        <v/>
      </c>
      <c r="AL15" s="18">
        <f>COUNTIF(B15:AF15, "CF")</f>
        <v/>
      </c>
      <c r="AM15" s="19">
        <f>AG15+AH15+AI15+AL15</f>
        <v/>
      </c>
      <c r="AN15" s="20">
        <f>IF(AM15&gt;0, AG15/AM15, 0)</f>
        <v/>
      </c>
    </row>
    <row r="16" ht="32" customHeight="1">
      <c r="A16" s="40" t="inlineStr">
        <is>
          <t>PHANI
Employee</t>
        </is>
      </c>
      <c r="B16" s="36" t="inlineStr">
        <is>
          <t>P</t>
        </is>
      </c>
      <c r="C16" s="36" t="inlineStr">
        <is>
          <t>P</t>
        </is>
      </c>
      <c r="D16" s="37" t="inlineStr">
        <is>
          <t>WO</t>
        </is>
      </c>
      <c r="E16" s="41" t="inlineStr">
        <is>
          <t>CL</t>
        </is>
      </c>
      <c r="F16" s="36" t="inlineStr">
        <is>
          <t>P</t>
        </is>
      </c>
      <c r="G16" s="36" t="inlineStr">
        <is>
          <t>P</t>
        </is>
      </c>
      <c r="H16" s="36" t="inlineStr">
        <is>
          <t>P</t>
        </is>
      </c>
      <c r="I16" s="36" t="inlineStr">
        <is>
          <t>P</t>
        </is>
      </c>
      <c r="J16" s="36" t="inlineStr">
        <is>
          <t>P</t>
        </is>
      </c>
      <c r="K16" s="37" t="inlineStr">
        <is>
          <t>WO</t>
        </is>
      </c>
      <c r="L16" s="36" t="inlineStr">
        <is>
          <t>P</t>
        </is>
      </c>
      <c r="M16" s="36" t="inlineStr">
        <is>
          <t>P</t>
        </is>
      </c>
      <c r="N16" s="36" t="inlineStr">
        <is>
          <t>P</t>
        </is>
      </c>
      <c r="O16" s="43" t="inlineStr">
        <is>
          <t>CF</t>
        </is>
      </c>
      <c r="P16" s="42" t="inlineStr">
        <is>
          <t>L</t>
        </is>
      </c>
      <c r="Q16" s="36" t="inlineStr">
        <is>
          <t>P</t>
        </is>
      </c>
      <c r="R16" s="36" t="inlineStr">
        <is>
          <t>P</t>
        </is>
      </c>
      <c r="S16" s="37" t="inlineStr">
        <is>
          <t>WO</t>
        </is>
      </c>
      <c r="T16" s="36" t="inlineStr">
        <is>
          <t>P</t>
        </is>
      </c>
      <c r="U16" s="36" t="inlineStr">
        <is>
          <t>P</t>
        </is>
      </c>
      <c r="V16" s="36" t="inlineStr">
        <is>
          <t>P</t>
        </is>
      </c>
      <c r="W16" s="36" t="inlineStr">
        <is>
          <t>P</t>
        </is>
      </c>
      <c r="X16" s="36" t="inlineStr">
        <is>
          <t>P</t>
        </is>
      </c>
      <c r="Y16" s="36" t="inlineStr">
        <is>
          <t>P</t>
        </is>
      </c>
      <c r="Z16" s="36" t="inlineStr">
        <is>
          <t>P</t>
        </is>
      </c>
      <c r="AA16" s="36" t="inlineStr">
        <is>
          <t>P</t>
        </is>
      </c>
      <c r="AB16" s="36" t="inlineStr">
        <is>
          <t>P</t>
        </is>
      </c>
      <c r="AC16" s="36" t="inlineStr">
        <is>
          <t>P</t>
        </is>
      </c>
      <c r="AD16" s="36" t="inlineStr">
        <is>
          <t>P</t>
        </is>
      </c>
      <c r="AE16" s="38" t="inlineStr">
        <is>
          <t>-</t>
        </is>
      </c>
      <c r="AF16" s="37" t="inlineStr">
        <is>
          <t>WO</t>
        </is>
      </c>
      <c r="AG16" s="39">
        <f>COUNTIF(B16:AF16, "P")</f>
        <v/>
      </c>
      <c r="AH16" s="15">
        <f>COUNTIF(B16:AF16, "CL")</f>
        <v/>
      </c>
      <c r="AI16" s="16">
        <f>COUNTIF(B16:AF16, "L")</f>
        <v/>
      </c>
      <c r="AJ16" s="17">
        <f>COUNTIF(B16:AF16, "WO")</f>
        <v/>
      </c>
      <c r="AK16" s="14">
        <f>COUNTIF(B16:AF16, "HO")</f>
        <v/>
      </c>
      <c r="AL16" s="18">
        <f>COUNTIF(B16:AF16, "CF")</f>
        <v/>
      </c>
      <c r="AM16" s="19">
        <f>AG16+AH16+AI16+AL16</f>
        <v/>
      </c>
      <c r="AN16" s="20">
        <f>IF(AM16&gt;0, AG16/AM16, 0)</f>
        <v/>
      </c>
    </row>
    <row r="17" ht="32" customHeight="1">
      <c r="A17" s="35" t="inlineStr">
        <is>
          <t>CHANIKYA
Employee</t>
        </is>
      </c>
      <c r="B17" s="41" t="inlineStr">
        <is>
          <t>CL</t>
        </is>
      </c>
      <c r="C17" s="36" t="inlineStr">
        <is>
          <t>P</t>
        </is>
      </c>
      <c r="D17" s="36" t="inlineStr">
        <is>
          <t>P</t>
        </is>
      </c>
      <c r="E17" s="36" t="inlineStr">
        <is>
          <t>P</t>
        </is>
      </c>
      <c r="F17" s="36" t="inlineStr">
        <is>
          <t>P</t>
        </is>
      </c>
      <c r="G17" s="36" t="inlineStr">
        <is>
          <t>P</t>
        </is>
      </c>
      <c r="H17" s="37" t="inlineStr">
        <is>
          <t>WO</t>
        </is>
      </c>
      <c r="I17" s="36" t="inlineStr">
        <is>
          <t>P</t>
        </is>
      </c>
      <c r="J17" s="36" t="inlineStr">
        <is>
          <t>P</t>
        </is>
      </c>
      <c r="K17" s="36" t="inlineStr">
        <is>
          <t>P</t>
        </is>
      </c>
      <c r="L17" s="36" t="inlineStr">
        <is>
          <t>P</t>
        </is>
      </c>
      <c r="M17" s="36" t="inlineStr">
        <is>
          <t>P</t>
        </is>
      </c>
      <c r="N17" s="36" t="inlineStr">
        <is>
          <t>P</t>
        </is>
      </c>
      <c r="O17" s="37" t="inlineStr">
        <is>
          <t>WO</t>
        </is>
      </c>
      <c r="P17" s="36" t="inlineStr">
        <is>
          <t>P</t>
        </is>
      </c>
      <c r="Q17" s="36" t="inlineStr">
        <is>
          <t>P</t>
        </is>
      </c>
      <c r="R17" s="36" t="inlineStr">
        <is>
          <t>P</t>
        </is>
      </c>
      <c r="S17" s="36" t="inlineStr">
        <is>
          <t>P</t>
        </is>
      </c>
      <c r="T17" s="42" t="inlineStr">
        <is>
          <t>L</t>
        </is>
      </c>
      <c r="U17" s="42" t="inlineStr">
        <is>
          <t>L</t>
        </is>
      </c>
      <c r="V17" s="37" t="inlineStr">
        <is>
          <t>WO</t>
        </is>
      </c>
      <c r="W17" s="36" t="inlineStr">
        <is>
          <t>P</t>
        </is>
      </c>
      <c r="X17" s="36" t="inlineStr">
        <is>
          <t>P</t>
        </is>
      </c>
      <c r="Y17" s="36" t="inlineStr">
        <is>
          <t>P</t>
        </is>
      </c>
      <c r="Z17" s="36" t="inlineStr">
        <is>
          <t>P</t>
        </is>
      </c>
      <c r="AA17" s="36" t="inlineStr">
        <is>
          <t>P</t>
        </is>
      </c>
      <c r="AB17" s="36" t="inlineStr">
        <is>
          <t>P</t>
        </is>
      </c>
      <c r="AC17" s="37" t="inlineStr">
        <is>
          <t>WO</t>
        </is>
      </c>
      <c r="AD17" s="36" t="inlineStr">
        <is>
          <t>P</t>
        </is>
      </c>
      <c r="AE17" s="38" t="inlineStr">
        <is>
          <t>-</t>
        </is>
      </c>
      <c r="AF17" s="38" t="inlineStr">
        <is>
          <t>-</t>
        </is>
      </c>
      <c r="AG17" s="39">
        <f>COUNTIF(B17:AF17, "P")</f>
        <v/>
      </c>
      <c r="AH17" s="15">
        <f>COUNTIF(B17:AF17, "CL")</f>
        <v/>
      </c>
      <c r="AI17" s="16">
        <f>COUNTIF(B17:AF17, "L")</f>
        <v/>
      </c>
      <c r="AJ17" s="17">
        <f>COUNTIF(B17:AF17, "WO")</f>
        <v/>
      </c>
      <c r="AK17" s="14">
        <f>COUNTIF(B17:AF17, "HO")</f>
        <v/>
      </c>
      <c r="AL17" s="18">
        <f>COUNTIF(B17:AF17, "CF")</f>
        <v/>
      </c>
      <c r="AM17" s="19">
        <f>AG17+AH17+AI17+AL17</f>
        <v/>
      </c>
      <c r="AN17" s="20">
        <f>IF(AM17&gt;0, AG17/AM17, 0)</f>
        <v/>
      </c>
    </row>
    <row r="18" ht="32" customHeight="1">
      <c r="A18" s="40" t="inlineStr">
        <is>
          <t>Ch Praveen Kumar
Employee</t>
        </is>
      </c>
      <c r="B18" s="36" t="inlineStr">
        <is>
          <t>P</t>
        </is>
      </c>
      <c r="C18" s="36" t="inlineStr">
        <is>
          <t>P</t>
        </is>
      </c>
      <c r="D18" s="36" t="inlineStr">
        <is>
          <t>P</t>
        </is>
      </c>
      <c r="E18" s="36" t="inlineStr">
        <is>
          <t>P</t>
        </is>
      </c>
      <c r="F18" s="36" t="inlineStr">
        <is>
          <t>P</t>
        </is>
      </c>
      <c r="G18" s="36" t="inlineStr">
        <is>
          <t>P</t>
        </is>
      </c>
      <c r="H18" s="37" t="inlineStr">
        <is>
          <t>WO</t>
        </is>
      </c>
      <c r="I18" s="41" t="inlineStr">
        <is>
          <t>CL</t>
        </is>
      </c>
      <c r="J18" s="43" t="inlineStr">
        <is>
          <t>CF</t>
        </is>
      </c>
      <c r="K18" s="36" t="inlineStr">
        <is>
          <t>P</t>
        </is>
      </c>
      <c r="L18" s="36" t="inlineStr">
        <is>
          <t>P</t>
        </is>
      </c>
      <c r="M18" s="36" t="inlineStr">
        <is>
          <t>P</t>
        </is>
      </c>
      <c r="N18" s="36" t="inlineStr">
        <is>
          <t>P</t>
        </is>
      </c>
      <c r="O18" s="37" t="inlineStr">
        <is>
          <t>WO</t>
        </is>
      </c>
      <c r="P18" s="36" t="inlineStr">
        <is>
          <t>P</t>
        </is>
      </c>
      <c r="Q18" s="43" t="inlineStr">
        <is>
          <t>CF</t>
        </is>
      </c>
      <c r="R18" s="36" t="inlineStr">
        <is>
          <t>P</t>
        </is>
      </c>
      <c r="S18" s="36" t="inlineStr">
        <is>
          <t>P</t>
        </is>
      </c>
      <c r="T18" s="36" t="inlineStr">
        <is>
          <t>P</t>
        </is>
      </c>
      <c r="U18" s="36" t="inlineStr">
        <is>
          <t>P</t>
        </is>
      </c>
      <c r="V18" s="37" t="inlineStr">
        <is>
          <t>WO</t>
        </is>
      </c>
      <c r="W18" s="36" t="inlineStr">
        <is>
          <t>P</t>
        </is>
      </c>
      <c r="X18" s="36" t="inlineStr">
        <is>
          <t>P</t>
        </is>
      </c>
      <c r="Y18" s="36" t="inlineStr">
        <is>
          <t>P</t>
        </is>
      </c>
      <c r="Z18" s="36" t="inlineStr">
        <is>
          <t>P</t>
        </is>
      </c>
      <c r="AA18" s="36" t="inlineStr">
        <is>
          <t>P</t>
        </is>
      </c>
      <c r="AB18" s="36" t="inlineStr">
        <is>
          <t>P</t>
        </is>
      </c>
      <c r="AC18" s="37" t="inlineStr">
        <is>
          <t>WO</t>
        </is>
      </c>
      <c r="AD18" s="36" t="inlineStr">
        <is>
          <t>P</t>
        </is>
      </c>
      <c r="AE18" s="38" t="inlineStr">
        <is>
          <t>-</t>
        </is>
      </c>
      <c r="AF18" s="38" t="inlineStr">
        <is>
          <t>-</t>
        </is>
      </c>
      <c r="AG18" s="39">
        <f>COUNTIF(B18:AF18, "P")</f>
        <v/>
      </c>
      <c r="AH18" s="15">
        <f>COUNTIF(B18:AF18, "CL")</f>
        <v/>
      </c>
      <c r="AI18" s="16">
        <f>COUNTIF(B18:AF18, "L")</f>
        <v/>
      </c>
      <c r="AJ18" s="17">
        <f>COUNTIF(B18:AF18, "WO")</f>
        <v/>
      </c>
      <c r="AK18" s="14">
        <f>COUNTIF(B18:AF18, "HO")</f>
        <v/>
      </c>
      <c r="AL18" s="18">
        <f>COUNTIF(B18:AF18, "CF")</f>
        <v/>
      </c>
      <c r="AM18" s="19">
        <f>AG18+AH18+AI18+AL18</f>
        <v/>
      </c>
      <c r="AN18" s="20">
        <f>IF(AM18&gt;0, AG18/AM18, 0)</f>
        <v/>
      </c>
    </row>
    <row r="19" ht="32" customHeight="1">
      <c r="A19" s="35" t="inlineStr">
        <is>
          <t>RAVALI
Employee</t>
        </is>
      </c>
      <c r="B19" s="36" t="inlineStr">
        <is>
          <t>P</t>
        </is>
      </c>
      <c r="C19" s="36" t="inlineStr">
        <is>
          <t>P</t>
        </is>
      </c>
      <c r="D19" s="36" t="inlineStr">
        <is>
          <t>P</t>
        </is>
      </c>
      <c r="E19" s="36" t="inlineStr">
        <is>
          <t>P</t>
        </is>
      </c>
      <c r="F19" s="36" t="inlineStr">
        <is>
          <t>P</t>
        </is>
      </c>
      <c r="G19" s="41" t="inlineStr">
        <is>
          <t>CL</t>
        </is>
      </c>
      <c r="H19" s="37" t="inlineStr">
        <is>
          <t>WO</t>
        </is>
      </c>
      <c r="I19" s="36" t="inlineStr">
        <is>
          <t>P</t>
        </is>
      </c>
      <c r="J19" s="36" t="inlineStr">
        <is>
          <t>P</t>
        </is>
      </c>
      <c r="K19" s="36" t="inlineStr">
        <is>
          <t>P</t>
        </is>
      </c>
      <c r="L19" s="42" t="inlineStr">
        <is>
          <t>L</t>
        </is>
      </c>
      <c r="M19" s="36" t="inlineStr">
        <is>
          <t>P</t>
        </is>
      </c>
      <c r="N19" s="36" t="inlineStr">
        <is>
          <t>P</t>
        </is>
      </c>
      <c r="O19" s="37" t="inlineStr">
        <is>
          <t>WO</t>
        </is>
      </c>
      <c r="P19" s="36" t="inlineStr">
        <is>
          <t>P</t>
        </is>
      </c>
      <c r="Q19" s="42" t="inlineStr">
        <is>
          <t>L</t>
        </is>
      </c>
      <c r="R19" s="36" t="inlineStr">
        <is>
          <t>P</t>
        </is>
      </c>
      <c r="S19" s="36" t="inlineStr">
        <is>
          <t>P</t>
        </is>
      </c>
      <c r="T19" s="36" t="inlineStr">
        <is>
          <t>P</t>
        </is>
      </c>
      <c r="U19" s="36" t="inlineStr">
        <is>
          <t>P</t>
        </is>
      </c>
      <c r="V19" s="37" t="inlineStr">
        <is>
          <t>WO</t>
        </is>
      </c>
      <c r="W19" s="36" t="inlineStr">
        <is>
          <t>P</t>
        </is>
      </c>
      <c r="X19" s="36" t="inlineStr">
        <is>
          <t>P</t>
        </is>
      </c>
      <c r="Y19" s="36" t="inlineStr">
        <is>
          <t>P</t>
        </is>
      </c>
      <c r="Z19" s="36" t="inlineStr">
        <is>
          <t>P</t>
        </is>
      </c>
      <c r="AA19" s="36" t="inlineStr">
        <is>
          <t>P</t>
        </is>
      </c>
      <c r="AB19" s="36" t="inlineStr">
        <is>
          <t>P</t>
        </is>
      </c>
      <c r="AC19" s="37" t="inlineStr">
        <is>
          <t>WO</t>
        </is>
      </c>
      <c r="AD19" s="36" t="inlineStr">
        <is>
          <t>P</t>
        </is>
      </c>
      <c r="AE19" s="38" t="inlineStr">
        <is>
          <t>-</t>
        </is>
      </c>
      <c r="AF19" s="38" t="inlineStr">
        <is>
          <t>-</t>
        </is>
      </c>
      <c r="AG19" s="39">
        <f>COUNTIF(B19:AF19, "P")</f>
        <v/>
      </c>
      <c r="AH19" s="15">
        <f>COUNTIF(B19:AF19, "CL")</f>
        <v/>
      </c>
      <c r="AI19" s="16">
        <f>COUNTIF(B19:AF19, "L")</f>
        <v/>
      </c>
      <c r="AJ19" s="17">
        <f>COUNTIF(B19:AF19, "WO")</f>
        <v/>
      </c>
      <c r="AK19" s="14">
        <f>COUNTIF(B19:AF19, "HO")</f>
        <v/>
      </c>
      <c r="AL19" s="18">
        <f>COUNTIF(B19:AF19, "CF")</f>
        <v/>
      </c>
      <c r="AM19" s="19">
        <f>AG19+AH19+AI19+AL19</f>
        <v/>
      </c>
      <c r="AN19" s="20">
        <f>IF(AM19&gt;0, AG19/AM19, 0)</f>
        <v/>
      </c>
    </row>
    <row r="20" ht="32" customHeight="1">
      <c r="A20" s="40" t="inlineStr">
        <is>
          <t>PRAVEEN KUMAR
Employee</t>
        </is>
      </c>
      <c r="B20" s="36" t="inlineStr">
        <is>
          <t>P</t>
        </is>
      </c>
      <c r="C20" s="36" t="inlineStr">
        <is>
          <t>P</t>
        </is>
      </c>
      <c r="D20" s="36" t="inlineStr">
        <is>
          <t>P</t>
        </is>
      </c>
      <c r="E20" s="42" t="inlineStr">
        <is>
          <t>L</t>
        </is>
      </c>
      <c r="F20" s="36" t="inlineStr">
        <is>
          <t>P</t>
        </is>
      </c>
      <c r="G20" s="36" t="inlineStr">
        <is>
          <t>P</t>
        </is>
      </c>
      <c r="H20" s="37" t="inlineStr">
        <is>
          <t>WO</t>
        </is>
      </c>
      <c r="I20" s="36" t="inlineStr">
        <is>
          <t>P</t>
        </is>
      </c>
      <c r="J20" s="36" t="inlineStr">
        <is>
          <t>P</t>
        </is>
      </c>
      <c r="K20" s="36" t="inlineStr">
        <is>
          <t>P</t>
        </is>
      </c>
      <c r="L20" s="41" t="inlineStr">
        <is>
          <t>CL</t>
        </is>
      </c>
      <c r="M20" s="36" t="inlineStr">
        <is>
          <t>P</t>
        </is>
      </c>
      <c r="N20" s="36" t="inlineStr">
        <is>
          <t>P</t>
        </is>
      </c>
      <c r="O20" s="37" t="inlineStr">
        <is>
          <t>WO</t>
        </is>
      </c>
      <c r="P20" s="36" t="inlineStr">
        <is>
          <t>P</t>
        </is>
      </c>
      <c r="Q20" s="36" t="inlineStr">
        <is>
          <t>P</t>
        </is>
      </c>
      <c r="R20" s="42" t="inlineStr">
        <is>
          <t>L</t>
        </is>
      </c>
      <c r="S20" s="36" t="inlineStr">
        <is>
          <t>P</t>
        </is>
      </c>
      <c r="T20" s="36" t="inlineStr">
        <is>
          <t>P</t>
        </is>
      </c>
      <c r="U20" s="36" t="inlineStr">
        <is>
          <t>P</t>
        </is>
      </c>
      <c r="V20" s="37" t="inlineStr">
        <is>
          <t>WO</t>
        </is>
      </c>
      <c r="W20" s="36" t="inlineStr">
        <is>
          <t>P</t>
        </is>
      </c>
      <c r="X20" s="36" t="inlineStr">
        <is>
          <t>P</t>
        </is>
      </c>
      <c r="Y20" s="36" t="inlineStr">
        <is>
          <t>P</t>
        </is>
      </c>
      <c r="Z20" s="36" t="inlineStr">
        <is>
          <t>P</t>
        </is>
      </c>
      <c r="AA20" s="42" t="inlineStr">
        <is>
          <t>L</t>
        </is>
      </c>
      <c r="AB20" s="36" t="inlineStr">
        <is>
          <t>P</t>
        </is>
      </c>
      <c r="AC20" s="37" t="inlineStr">
        <is>
          <t>WO</t>
        </is>
      </c>
      <c r="AD20" s="36" t="inlineStr">
        <is>
          <t>P</t>
        </is>
      </c>
      <c r="AE20" s="38" t="inlineStr">
        <is>
          <t>-</t>
        </is>
      </c>
      <c r="AF20" s="38" t="inlineStr">
        <is>
          <t>-</t>
        </is>
      </c>
      <c r="AG20" s="39">
        <f>COUNTIF(B20:AF20, "P")</f>
        <v/>
      </c>
      <c r="AH20" s="15">
        <f>COUNTIF(B20:AF20, "CL")</f>
        <v/>
      </c>
      <c r="AI20" s="16">
        <f>COUNTIF(B20:AF20, "L")</f>
        <v/>
      </c>
      <c r="AJ20" s="17">
        <f>COUNTIF(B20:AF20, "WO")</f>
        <v/>
      </c>
      <c r="AK20" s="14">
        <f>COUNTIF(B20:AF20, "HO")</f>
        <v/>
      </c>
      <c r="AL20" s="18">
        <f>COUNTIF(B20:AF20, "CF")</f>
        <v/>
      </c>
      <c r="AM20" s="19">
        <f>AG20+AH20+AI20+AL20</f>
        <v/>
      </c>
      <c r="AN20" s="20">
        <f>IF(AM20&gt;0, AG20/AM20, 0)</f>
        <v/>
      </c>
    </row>
    <row r="21" ht="32" customHeight="1">
      <c r="A21" s="35" t="inlineStr">
        <is>
          <t>SAI CHARAN
Employee</t>
        </is>
      </c>
      <c r="B21" s="41" t="inlineStr">
        <is>
          <t>CL</t>
        </is>
      </c>
      <c r="C21" s="36" t="inlineStr">
        <is>
          <t>P</t>
        </is>
      </c>
      <c r="D21" s="36" t="inlineStr">
        <is>
          <t>P</t>
        </is>
      </c>
      <c r="E21" s="36" t="inlineStr">
        <is>
          <t>P</t>
        </is>
      </c>
      <c r="F21" s="36" t="inlineStr">
        <is>
          <t>P</t>
        </is>
      </c>
      <c r="G21" s="36" t="inlineStr">
        <is>
          <t>P</t>
        </is>
      </c>
      <c r="H21" s="37" t="inlineStr">
        <is>
          <t>WO</t>
        </is>
      </c>
      <c r="I21" s="36" t="inlineStr">
        <is>
          <t>P</t>
        </is>
      </c>
      <c r="J21" s="36" t="inlineStr">
        <is>
          <t>P</t>
        </is>
      </c>
      <c r="K21" s="42" t="inlineStr">
        <is>
          <t>L</t>
        </is>
      </c>
      <c r="L21" s="36" t="inlineStr">
        <is>
          <t>P</t>
        </is>
      </c>
      <c r="M21" s="36" t="inlineStr">
        <is>
          <t>P</t>
        </is>
      </c>
      <c r="N21" s="36" t="inlineStr">
        <is>
          <t>P</t>
        </is>
      </c>
      <c r="O21" s="37" t="inlineStr">
        <is>
          <t>WO</t>
        </is>
      </c>
      <c r="P21" s="42" t="inlineStr">
        <is>
          <t>L</t>
        </is>
      </c>
      <c r="Q21" s="36" t="inlineStr">
        <is>
          <t>P</t>
        </is>
      </c>
      <c r="R21" s="36" t="inlineStr">
        <is>
          <t>P</t>
        </is>
      </c>
      <c r="S21" s="36" t="inlineStr">
        <is>
          <t>P</t>
        </is>
      </c>
      <c r="T21" s="36" t="inlineStr">
        <is>
          <t>P</t>
        </is>
      </c>
      <c r="U21" s="36" t="inlineStr">
        <is>
          <t>P</t>
        </is>
      </c>
      <c r="V21" s="37" t="inlineStr">
        <is>
          <t>WO</t>
        </is>
      </c>
      <c r="W21" s="36" t="inlineStr">
        <is>
          <t>P</t>
        </is>
      </c>
      <c r="X21" s="36" t="inlineStr">
        <is>
          <t>P</t>
        </is>
      </c>
      <c r="Y21" s="36" t="inlineStr">
        <is>
          <t>P</t>
        </is>
      </c>
      <c r="Z21" s="42" t="inlineStr">
        <is>
          <t>L</t>
        </is>
      </c>
      <c r="AA21" s="36" t="inlineStr">
        <is>
          <t>P</t>
        </is>
      </c>
      <c r="AB21" s="36" t="inlineStr">
        <is>
          <t>P</t>
        </is>
      </c>
      <c r="AC21" s="37" t="inlineStr">
        <is>
          <t>WO</t>
        </is>
      </c>
      <c r="AD21" s="36" t="inlineStr">
        <is>
          <t>P</t>
        </is>
      </c>
      <c r="AE21" s="38" t="inlineStr">
        <is>
          <t>-</t>
        </is>
      </c>
      <c r="AF21" s="38" t="inlineStr">
        <is>
          <t>-</t>
        </is>
      </c>
      <c r="AG21" s="39">
        <f>COUNTIF(B21:AF21, "P")</f>
        <v/>
      </c>
      <c r="AH21" s="15">
        <f>COUNTIF(B21:AF21, "CL")</f>
        <v/>
      </c>
      <c r="AI21" s="16">
        <f>COUNTIF(B21:AF21, "L")</f>
        <v/>
      </c>
      <c r="AJ21" s="17">
        <f>COUNTIF(B21:AF21, "WO")</f>
        <v/>
      </c>
      <c r="AK21" s="14">
        <f>COUNTIF(B21:AF21, "HO")</f>
        <v/>
      </c>
      <c r="AL21" s="18">
        <f>COUNTIF(B21:AF21, "CF")</f>
        <v/>
      </c>
      <c r="AM21" s="19">
        <f>AG21+AH21+AI21+AL21</f>
        <v/>
      </c>
      <c r="AN21" s="20">
        <f>IF(AM21&gt;0, AG21/AM21, 0)</f>
        <v/>
      </c>
    </row>
    <row r="22" ht="32" customHeight="1">
      <c r="A22" s="40" t="inlineStr">
        <is>
          <t>SIRISHA
Employee</t>
        </is>
      </c>
      <c r="B22" s="36" t="inlineStr">
        <is>
          <t>P</t>
        </is>
      </c>
      <c r="C22" s="36" t="inlineStr">
        <is>
          <t>P</t>
        </is>
      </c>
      <c r="D22" s="36" t="inlineStr">
        <is>
          <t>P</t>
        </is>
      </c>
      <c r="E22" s="36" t="inlineStr">
        <is>
          <t>P</t>
        </is>
      </c>
      <c r="F22" s="36" t="inlineStr">
        <is>
          <t>P</t>
        </is>
      </c>
      <c r="G22" s="36" t="inlineStr">
        <is>
          <t>P</t>
        </is>
      </c>
      <c r="H22" s="37" t="inlineStr">
        <is>
          <t>WO</t>
        </is>
      </c>
      <c r="I22" s="36" t="inlineStr">
        <is>
          <t>P</t>
        </is>
      </c>
      <c r="J22" s="36" t="inlineStr">
        <is>
          <t>P</t>
        </is>
      </c>
      <c r="K22" s="36" t="inlineStr">
        <is>
          <t>P</t>
        </is>
      </c>
      <c r="L22" s="36" t="inlineStr">
        <is>
          <t>P</t>
        </is>
      </c>
      <c r="M22" s="36" t="inlineStr">
        <is>
          <t>P</t>
        </is>
      </c>
      <c r="N22" s="36" t="inlineStr">
        <is>
          <t>P</t>
        </is>
      </c>
      <c r="O22" s="37" t="inlineStr">
        <is>
          <t>WO</t>
        </is>
      </c>
      <c r="P22" s="36" t="inlineStr">
        <is>
          <t>P</t>
        </is>
      </c>
      <c r="Q22" s="36" t="inlineStr">
        <is>
          <t>P</t>
        </is>
      </c>
      <c r="R22" s="36" t="inlineStr">
        <is>
          <t>P</t>
        </is>
      </c>
      <c r="S22" s="36" t="inlineStr">
        <is>
          <t>P</t>
        </is>
      </c>
      <c r="T22" s="41" t="inlineStr">
        <is>
          <t>CL</t>
        </is>
      </c>
      <c r="U22" s="42" t="inlineStr">
        <is>
          <t>L</t>
        </is>
      </c>
      <c r="V22" s="37" t="inlineStr">
        <is>
          <t>WO</t>
        </is>
      </c>
      <c r="W22" s="42" t="inlineStr">
        <is>
          <t>L</t>
        </is>
      </c>
      <c r="X22" s="42" t="inlineStr">
        <is>
          <t>L</t>
        </is>
      </c>
      <c r="Y22" s="42" t="inlineStr">
        <is>
          <t>L</t>
        </is>
      </c>
      <c r="Z22" s="36" t="inlineStr">
        <is>
          <t>P</t>
        </is>
      </c>
      <c r="AA22" s="36" t="inlineStr">
        <is>
          <t>P</t>
        </is>
      </c>
      <c r="AB22" s="36" t="inlineStr">
        <is>
          <t>P</t>
        </is>
      </c>
      <c r="AC22" s="37" t="inlineStr">
        <is>
          <t>WO</t>
        </is>
      </c>
      <c r="AD22" s="36" t="inlineStr">
        <is>
          <t>P</t>
        </is>
      </c>
      <c r="AE22" s="38" t="inlineStr">
        <is>
          <t>-</t>
        </is>
      </c>
      <c r="AF22" s="38" t="inlineStr">
        <is>
          <t>-</t>
        </is>
      </c>
      <c r="AG22" s="39">
        <f>COUNTIF(B22:AF22, "P")</f>
        <v/>
      </c>
      <c r="AH22" s="15">
        <f>COUNTIF(B22:AF22, "CL")</f>
        <v/>
      </c>
      <c r="AI22" s="16">
        <f>COUNTIF(B22:AF22, "L")</f>
        <v/>
      </c>
      <c r="AJ22" s="17">
        <f>COUNTIF(B22:AF22, "WO")</f>
        <v/>
      </c>
      <c r="AK22" s="14">
        <f>COUNTIF(B22:AF22, "HO")</f>
        <v/>
      </c>
      <c r="AL22" s="18">
        <f>COUNTIF(B22:AF22, "CF")</f>
        <v/>
      </c>
      <c r="AM22" s="19">
        <f>AG22+AH22+AI22+AL22</f>
        <v/>
      </c>
      <c r="AN22" s="20">
        <f>IF(AM22&gt;0, AG22/AM22, 0)</f>
        <v/>
      </c>
    </row>
    <row r="23" ht="32" customHeight="1">
      <c r="A23" s="35" t="inlineStr">
        <is>
          <t>SAI KUMAR
Employee</t>
        </is>
      </c>
      <c r="B23" s="38" t="inlineStr">
        <is>
          <t>-</t>
        </is>
      </c>
      <c r="C23" s="38" t="inlineStr">
        <is>
          <t>-</t>
        </is>
      </c>
      <c r="D23" s="38" t="inlineStr">
        <is>
          <t>-</t>
        </is>
      </c>
      <c r="E23" s="38" t="inlineStr">
        <is>
          <t>-</t>
        </is>
      </c>
      <c r="F23" s="38" t="inlineStr">
        <is>
          <t>-</t>
        </is>
      </c>
      <c r="G23" s="38" t="inlineStr">
        <is>
          <t>-</t>
        </is>
      </c>
      <c r="H23" s="38" t="inlineStr">
        <is>
          <t>-</t>
        </is>
      </c>
      <c r="I23" s="38" t="inlineStr">
        <is>
          <t>-</t>
        </is>
      </c>
      <c r="J23" s="38" t="inlineStr">
        <is>
          <t>-</t>
        </is>
      </c>
      <c r="K23" s="38" t="inlineStr">
        <is>
          <t>-</t>
        </is>
      </c>
      <c r="L23" s="38" t="inlineStr">
        <is>
          <t>-</t>
        </is>
      </c>
      <c r="M23" s="38" t="inlineStr">
        <is>
          <t>-</t>
        </is>
      </c>
      <c r="N23" s="38" t="inlineStr">
        <is>
          <t>-</t>
        </is>
      </c>
      <c r="O23" s="38" t="inlineStr">
        <is>
          <t>-</t>
        </is>
      </c>
      <c r="P23" s="38" t="inlineStr">
        <is>
          <t>-</t>
        </is>
      </c>
      <c r="Q23" s="38" t="inlineStr">
        <is>
          <t>-</t>
        </is>
      </c>
      <c r="R23" s="38" t="inlineStr">
        <is>
          <t>-</t>
        </is>
      </c>
      <c r="S23" s="38" t="inlineStr">
        <is>
          <t>-</t>
        </is>
      </c>
      <c r="T23" s="38" t="inlineStr">
        <is>
          <t>-</t>
        </is>
      </c>
      <c r="U23" s="38" t="inlineStr">
        <is>
          <t>-</t>
        </is>
      </c>
      <c r="V23" s="38" t="inlineStr">
        <is>
          <t>-</t>
        </is>
      </c>
      <c r="W23" s="38" t="inlineStr">
        <is>
          <t>-</t>
        </is>
      </c>
      <c r="X23" s="38" t="inlineStr">
        <is>
          <t>-</t>
        </is>
      </c>
      <c r="Y23" s="38" t="inlineStr">
        <is>
          <t>-</t>
        </is>
      </c>
      <c r="Z23" s="38" t="inlineStr">
        <is>
          <t>-</t>
        </is>
      </c>
      <c r="AA23" s="38" t="inlineStr">
        <is>
          <t>-</t>
        </is>
      </c>
      <c r="AB23" s="38" t="inlineStr">
        <is>
          <t>-</t>
        </is>
      </c>
      <c r="AC23" s="38" t="inlineStr">
        <is>
          <t>-</t>
        </is>
      </c>
      <c r="AD23" s="38" t="inlineStr">
        <is>
          <t>-</t>
        </is>
      </c>
      <c r="AE23" s="38" t="inlineStr">
        <is>
          <t>-</t>
        </is>
      </c>
      <c r="AF23" s="38" t="inlineStr">
        <is>
          <t>-</t>
        </is>
      </c>
      <c r="AG23" s="39">
        <f>COUNTIF(B23:AF23, "P")</f>
        <v/>
      </c>
      <c r="AH23" s="15">
        <f>COUNTIF(B23:AF23, "CL")</f>
        <v/>
      </c>
      <c r="AI23" s="16">
        <f>COUNTIF(B23:AF23, "L")</f>
        <v/>
      </c>
      <c r="AJ23" s="17">
        <f>COUNTIF(B23:AF23, "WO")</f>
        <v/>
      </c>
      <c r="AK23" s="14">
        <f>COUNTIF(B23:AF23, "HO")</f>
        <v/>
      </c>
      <c r="AL23" s="18">
        <f>COUNTIF(B23:AF23, "CF")</f>
        <v/>
      </c>
      <c r="AM23" s="19">
        <f>AG23+AH23+AI23+AL23</f>
        <v/>
      </c>
      <c r="AN23" s="20">
        <f>IF(AM23&gt;0, AG23/AM23, 0)</f>
        <v/>
      </c>
    </row>
    <row r="24" ht="32" customHeight="1">
      <c r="A24" s="40" t="inlineStr">
        <is>
          <t>VAIDEHI
Employee</t>
        </is>
      </c>
      <c r="B24" s="38" t="inlineStr">
        <is>
          <t>-</t>
        </is>
      </c>
      <c r="C24" s="38" t="inlineStr">
        <is>
          <t>-</t>
        </is>
      </c>
      <c r="D24" s="38" t="inlineStr">
        <is>
          <t>-</t>
        </is>
      </c>
      <c r="E24" s="38" t="inlineStr">
        <is>
          <t>-</t>
        </is>
      </c>
      <c r="F24" s="38" t="inlineStr">
        <is>
          <t>-</t>
        </is>
      </c>
      <c r="G24" s="38" t="inlineStr">
        <is>
          <t>-</t>
        </is>
      </c>
      <c r="H24" s="38" t="inlineStr">
        <is>
          <t>-</t>
        </is>
      </c>
      <c r="I24" s="38" t="inlineStr">
        <is>
          <t>-</t>
        </is>
      </c>
      <c r="J24" s="38" t="inlineStr">
        <is>
          <t>-</t>
        </is>
      </c>
      <c r="K24" s="38" t="inlineStr">
        <is>
          <t>-</t>
        </is>
      </c>
      <c r="L24" s="38" t="inlineStr">
        <is>
          <t>-</t>
        </is>
      </c>
      <c r="M24" s="38" t="inlineStr">
        <is>
          <t>-</t>
        </is>
      </c>
      <c r="N24" s="38" t="inlineStr">
        <is>
          <t>-</t>
        </is>
      </c>
      <c r="O24" s="38" t="inlineStr">
        <is>
          <t>-</t>
        </is>
      </c>
      <c r="P24" s="38" t="inlineStr">
        <is>
          <t>-</t>
        </is>
      </c>
      <c r="Q24" s="38" t="inlineStr">
        <is>
          <t>-</t>
        </is>
      </c>
      <c r="R24" s="38" t="inlineStr">
        <is>
          <t>-</t>
        </is>
      </c>
      <c r="S24" s="38" t="inlineStr">
        <is>
          <t>-</t>
        </is>
      </c>
      <c r="T24" s="38" t="inlineStr">
        <is>
          <t>-</t>
        </is>
      </c>
      <c r="U24" s="38" t="inlineStr">
        <is>
          <t>-</t>
        </is>
      </c>
      <c r="V24" s="38" t="inlineStr">
        <is>
          <t>-</t>
        </is>
      </c>
      <c r="W24" s="38" t="inlineStr">
        <is>
          <t>-</t>
        </is>
      </c>
      <c r="X24" s="38" t="inlineStr">
        <is>
          <t>-</t>
        </is>
      </c>
      <c r="Y24" s="38" t="inlineStr">
        <is>
          <t>-</t>
        </is>
      </c>
      <c r="Z24" s="38" t="inlineStr">
        <is>
          <t>-</t>
        </is>
      </c>
      <c r="AA24" s="38" t="inlineStr">
        <is>
          <t>-</t>
        </is>
      </c>
      <c r="AB24" s="38" t="inlineStr">
        <is>
          <t>-</t>
        </is>
      </c>
      <c r="AC24" s="38" t="inlineStr">
        <is>
          <t>-</t>
        </is>
      </c>
      <c r="AD24" s="38" t="inlineStr">
        <is>
          <t>-</t>
        </is>
      </c>
      <c r="AE24" s="38" t="inlineStr">
        <is>
          <t>-</t>
        </is>
      </c>
      <c r="AF24" s="38" t="inlineStr">
        <is>
          <t>-</t>
        </is>
      </c>
      <c r="AG24" s="39">
        <f>COUNTIF(B24:AF24, "P")</f>
        <v/>
      </c>
      <c r="AH24" s="15">
        <f>COUNTIF(B24:AF24, "CL")</f>
        <v/>
      </c>
      <c r="AI24" s="16">
        <f>COUNTIF(B24:AF24, "L")</f>
        <v/>
      </c>
      <c r="AJ24" s="17">
        <f>COUNTIF(B24:AF24, "WO")</f>
        <v/>
      </c>
      <c r="AK24" s="14">
        <f>COUNTIF(B24:AF24, "HO")</f>
        <v/>
      </c>
      <c r="AL24" s="18">
        <f>COUNTIF(B24:AF24, "CF")</f>
        <v/>
      </c>
      <c r="AM24" s="19">
        <f>AG24+AH24+AI24+AL24</f>
        <v/>
      </c>
      <c r="AN24" s="20">
        <f>IF(AM24&gt;0, AG24/AM24, 0)</f>
        <v/>
      </c>
    </row>
    <row r="25" ht="32" customHeight="1">
      <c r="A25" s="35" t="inlineStr">
        <is>
          <t>VAISHNAVI
Employee</t>
        </is>
      </c>
      <c r="B25" s="38" t="inlineStr">
        <is>
          <t>-</t>
        </is>
      </c>
      <c r="C25" s="38" t="inlineStr">
        <is>
          <t>-</t>
        </is>
      </c>
      <c r="D25" s="38" t="inlineStr">
        <is>
          <t>-</t>
        </is>
      </c>
      <c r="E25" s="38" t="inlineStr">
        <is>
          <t>-</t>
        </is>
      </c>
      <c r="F25" s="38" t="inlineStr">
        <is>
          <t>-</t>
        </is>
      </c>
      <c r="G25" s="38" t="inlineStr">
        <is>
          <t>-</t>
        </is>
      </c>
      <c r="H25" s="38" t="inlineStr">
        <is>
          <t>-</t>
        </is>
      </c>
      <c r="I25" s="38" t="inlineStr">
        <is>
          <t>-</t>
        </is>
      </c>
      <c r="J25" s="38" t="inlineStr">
        <is>
          <t>-</t>
        </is>
      </c>
      <c r="K25" s="38" t="inlineStr">
        <is>
          <t>-</t>
        </is>
      </c>
      <c r="L25" s="38" t="inlineStr">
        <is>
          <t>-</t>
        </is>
      </c>
      <c r="M25" s="38" t="inlineStr">
        <is>
          <t>-</t>
        </is>
      </c>
      <c r="N25" s="38" t="inlineStr">
        <is>
          <t>-</t>
        </is>
      </c>
      <c r="O25" s="38" t="inlineStr">
        <is>
          <t>-</t>
        </is>
      </c>
      <c r="P25" s="38" t="inlineStr">
        <is>
          <t>-</t>
        </is>
      </c>
      <c r="Q25" s="38" t="inlineStr">
        <is>
          <t>-</t>
        </is>
      </c>
      <c r="R25" s="38" t="inlineStr">
        <is>
          <t>-</t>
        </is>
      </c>
      <c r="S25" s="38" t="inlineStr">
        <is>
          <t>-</t>
        </is>
      </c>
      <c r="T25" s="38" t="inlineStr">
        <is>
          <t>-</t>
        </is>
      </c>
      <c r="U25" s="38" t="inlineStr">
        <is>
          <t>-</t>
        </is>
      </c>
      <c r="V25" s="38" t="inlineStr">
        <is>
          <t>-</t>
        </is>
      </c>
      <c r="W25" s="38" t="inlineStr">
        <is>
          <t>-</t>
        </is>
      </c>
      <c r="X25" s="38" t="inlineStr">
        <is>
          <t>-</t>
        </is>
      </c>
      <c r="Y25" s="38" t="inlineStr">
        <is>
          <t>-</t>
        </is>
      </c>
      <c r="Z25" s="38" t="inlineStr">
        <is>
          <t>-</t>
        </is>
      </c>
      <c r="AA25" s="38" t="inlineStr">
        <is>
          <t>-</t>
        </is>
      </c>
      <c r="AB25" s="38" t="inlineStr">
        <is>
          <t>-</t>
        </is>
      </c>
      <c r="AC25" s="38" t="inlineStr">
        <is>
          <t>-</t>
        </is>
      </c>
      <c r="AD25" s="38" t="inlineStr">
        <is>
          <t>-</t>
        </is>
      </c>
      <c r="AE25" s="38" t="inlineStr">
        <is>
          <t>-</t>
        </is>
      </c>
      <c r="AF25" s="38" t="inlineStr">
        <is>
          <t>-</t>
        </is>
      </c>
      <c r="AG25" s="39">
        <f>COUNTIF(B25:AF25, "P")</f>
        <v/>
      </c>
      <c r="AH25" s="15">
        <f>COUNTIF(B25:AF25, "CL")</f>
        <v/>
      </c>
      <c r="AI25" s="16">
        <f>COUNTIF(B25:AF25, "L")</f>
        <v/>
      </c>
      <c r="AJ25" s="17">
        <f>COUNTIF(B25:AF25, "WO")</f>
        <v/>
      </c>
      <c r="AK25" s="14">
        <f>COUNTIF(B25:AF25, "HO")</f>
        <v/>
      </c>
      <c r="AL25" s="18">
        <f>COUNTIF(B25:AF25, "CF")</f>
        <v/>
      </c>
      <c r="AM25" s="19">
        <f>AG25+AH25+AI25+AL25</f>
        <v/>
      </c>
      <c r="AN25" s="20">
        <f>IF(AM25&gt;0, AG25/AM25, 0)</f>
        <v/>
      </c>
    </row>
    <row r="26" ht="32" customHeight="1">
      <c r="A26" s="40" t="inlineStr">
        <is>
          <t>VITTAL
Employee</t>
        </is>
      </c>
      <c r="B26" s="38" t="inlineStr">
        <is>
          <t>-</t>
        </is>
      </c>
      <c r="C26" s="38" t="inlineStr">
        <is>
          <t>-</t>
        </is>
      </c>
      <c r="D26" s="38" t="inlineStr">
        <is>
          <t>-</t>
        </is>
      </c>
      <c r="E26" s="38" t="inlineStr">
        <is>
          <t>-</t>
        </is>
      </c>
      <c r="F26" s="38" t="inlineStr">
        <is>
          <t>-</t>
        </is>
      </c>
      <c r="G26" s="38" t="inlineStr">
        <is>
          <t>-</t>
        </is>
      </c>
      <c r="H26" s="38" t="inlineStr">
        <is>
          <t>-</t>
        </is>
      </c>
      <c r="I26" s="38" t="inlineStr">
        <is>
          <t>-</t>
        </is>
      </c>
      <c r="J26" s="38" t="inlineStr">
        <is>
          <t>-</t>
        </is>
      </c>
      <c r="K26" s="38" t="inlineStr">
        <is>
          <t>-</t>
        </is>
      </c>
      <c r="L26" s="38" t="inlineStr">
        <is>
          <t>-</t>
        </is>
      </c>
      <c r="M26" s="38" t="inlineStr">
        <is>
          <t>-</t>
        </is>
      </c>
      <c r="N26" s="38" t="inlineStr">
        <is>
          <t>-</t>
        </is>
      </c>
      <c r="O26" s="38" t="inlineStr">
        <is>
          <t>-</t>
        </is>
      </c>
      <c r="P26" s="38" t="inlineStr">
        <is>
          <t>-</t>
        </is>
      </c>
      <c r="Q26" s="38" t="inlineStr">
        <is>
          <t>-</t>
        </is>
      </c>
      <c r="R26" s="38" t="inlineStr">
        <is>
          <t>-</t>
        </is>
      </c>
      <c r="S26" s="38" t="inlineStr">
        <is>
          <t>-</t>
        </is>
      </c>
      <c r="T26" s="38" t="inlineStr">
        <is>
          <t>-</t>
        </is>
      </c>
      <c r="U26" s="38" t="inlineStr">
        <is>
          <t>-</t>
        </is>
      </c>
      <c r="V26" s="38" t="inlineStr">
        <is>
          <t>-</t>
        </is>
      </c>
      <c r="W26" s="38" t="inlineStr">
        <is>
          <t>-</t>
        </is>
      </c>
      <c r="X26" s="38" t="inlineStr">
        <is>
          <t>-</t>
        </is>
      </c>
      <c r="Y26" s="38" t="inlineStr">
        <is>
          <t>-</t>
        </is>
      </c>
      <c r="Z26" s="38" t="inlineStr">
        <is>
          <t>-</t>
        </is>
      </c>
      <c r="AA26" s="38" t="inlineStr">
        <is>
          <t>-</t>
        </is>
      </c>
      <c r="AB26" s="38" t="inlineStr">
        <is>
          <t>-</t>
        </is>
      </c>
      <c r="AC26" s="38" t="inlineStr">
        <is>
          <t>-</t>
        </is>
      </c>
      <c r="AD26" s="38" t="inlineStr">
        <is>
          <t>-</t>
        </is>
      </c>
      <c r="AE26" s="38" t="inlineStr">
        <is>
          <t>-</t>
        </is>
      </c>
      <c r="AF26" s="38" t="inlineStr">
        <is>
          <t>-</t>
        </is>
      </c>
      <c r="AG26" s="39">
        <f>COUNTIF(B26:AF26, "P")</f>
        <v/>
      </c>
      <c r="AH26" s="15">
        <f>COUNTIF(B26:AF26, "CL")</f>
        <v/>
      </c>
      <c r="AI26" s="16">
        <f>COUNTIF(B26:AF26, "L")</f>
        <v/>
      </c>
      <c r="AJ26" s="17">
        <f>COUNTIF(B26:AF26, "WO")</f>
        <v/>
      </c>
      <c r="AK26" s="14">
        <f>COUNTIF(B26:AF26, "HO")</f>
        <v/>
      </c>
      <c r="AL26" s="18">
        <f>COUNTIF(B26:AF26, "CF")</f>
        <v/>
      </c>
      <c r="AM26" s="19">
        <f>AG26+AH26+AI26+AL26</f>
        <v/>
      </c>
      <c r="AN26" s="20">
        <f>IF(AM26&gt;0, AG26/AM26, 0)</f>
        <v/>
      </c>
    </row>
    <row r="27" ht="30" customHeight="1">
      <c r="A27" s="44" t="inlineStr">
        <is>
          <t>Overall Staff Total / Daily Present</t>
        </is>
      </c>
      <c r="B27" s="45">
        <f>COUNTIF(B5:B26, "P")</f>
        <v/>
      </c>
      <c r="C27" s="45">
        <f>COUNTIF(C5:C26, "P")</f>
        <v/>
      </c>
      <c r="D27" s="45">
        <f>COUNTIF(D5:D26, "P")</f>
        <v/>
      </c>
      <c r="E27" s="45">
        <f>COUNTIF(E5:E26, "P")</f>
        <v/>
      </c>
      <c r="F27" s="45">
        <f>COUNTIF(F5:F26, "P")</f>
        <v/>
      </c>
      <c r="G27" s="45">
        <f>COUNTIF(G5:G26, "P")</f>
        <v/>
      </c>
      <c r="H27" s="45">
        <f>COUNTIF(H5:H26, "P")</f>
        <v/>
      </c>
      <c r="I27" s="45">
        <f>COUNTIF(I5:I26, "P")</f>
        <v/>
      </c>
      <c r="J27" s="45">
        <f>COUNTIF(J5:J26, "P")</f>
        <v/>
      </c>
      <c r="K27" s="45">
        <f>COUNTIF(K5:K26, "P")</f>
        <v/>
      </c>
      <c r="L27" s="45">
        <f>COUNTIF(L5:L26, "P")</f>
        <v/>
      </c>
      <c r="M27" s="45">
        <f>COUNTIF(M5:M26, "P")</f>
        <v/>
      </c>
      <c r="N27" s="45">
        <f>COUNTIF(N5:N26, "P")</f>
        <v/>
      </c>
      <c r="O27" s="45">
        <f>COUNTIF(O5:O26, "P")</f>
        <v/>
      </c>
      <c r="P27" s="45">
        <f>COUNTIF(P5:P26, "P")</f>
        <v/>
      </c>
      <c r="Q27" s="45">
        <f>COUNTIF(Q5:Q26, "P")</f>
        <v/>
      </c>
      <c r="R27" s="45">
        <f>COUNTIF(R5:R26, "P")</f>
        <v/>
      </c>
      <c r="S27" s="45">
        <f>COUNTIF(S5:S26, "P")</f>
        <v/>
      </c>
      <c r="T27" s="45">
        <f>COUNTIF(T5:T26, "P")</f>
        <v/>
      </c>
      <c r="U27" s="45">
        <f>COUNTIF(U5:U26, "P")</f>
        <v/>
      </c>
      <c r="V27" s="45">
        <f>COUNTIF(V5:V26, "P")</f>
        <v/>
      </c>
      <c r="W27" s="45">
        <f>COUNTIF(W5:W26, "P")</f>
        <v/>
      </c>
      <c r="X27" s="45">
        <f>COUNTIF(X5:X26, "P")</f>
        <v/>
      </c>
      <c r="Y27" s="45">
        <f>COUNTIF(Y5:Y26, "P")</f>
        <v/>
      </c>
      <c r="Z27" s="45">
        <f>COUNTIF(Z5:Z26, "P")</f>
        <v/>
      </c>
      <c r="AA27" s="45">
        <f>COUNTIF(AA5:AA26, "P")</f>
        <v/>
      </c>
      <c r="AB27" s="45">
        <f>COUNTIF(AB5:AB26, "P")</f>
        <v/>
      </c>
      <c r="AC27" s="45">
        <f>COUNTIF(AC5:AC26, "P")</f>
        <v/>
      </c>
      <c r="AD27" s="45">
        <f>COUNTIF(AD5:AD26, "P")</f>
        <v/>
      </c>
      <c r="AE27" s="45">
        <f>COUNTIF(AE5:AE26, "P")</f>
        <v/>
      </c>
      <c r="AF27" s="45">
        <f>COUNTIF(AF5:AF26, "P")</f>
        <v/>
      </c>
      <c r="AG27" s="46">
        <f>SUM(AG5:AG26)</f>
        <v/>
      </c>
      <c r="AH27" s="46">
        <f>SUM(AH5:AH26)</f>
        <v/>
      </c>
      <c r="AI27" s="46">
        <f>SUM(AI5:AI26)</f>
        <v/>
      </c>
      <c r="AJ27" s="46">
        <f>SUM(AJ5:AJ26)</f>
        <v/>
      </c>
      <c r="AK27" s="46">
        <f>SUM(AK5:AK26)</f>
        <v/>
      </c>
      <c r="AL27" s="46">
        <f>SUM(AL5:AL26)</f>
        <v/>
      </c>
      <c r="AM27" s="46">
        <f>SUM(AM5:AM26)</f>
        <v/>
      </c>
      <c r="AN27" s="24">
        <f>IF(AM27&gt;0, AG27/AM27, 0)</f>
        <v/>
      </c>
    </row>
  </sheetData>
  <mergeCells count="2">
    <mergeCell ref="A2:AN2"/>
    <mergeCell ref="A1:A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2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4.5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11" customWidth="1" min="39" max="39"/>
    <col width="14" customWidth="1" min="40" max="40"/>
  </cols>
  <sheetData>
    <row r="1" ht="36" customHeight="1">
      <c r="A1" s="25" t="inlineStr">
        <is>
          <t>VASUS ATTENDANCE TRACKER — NOVEMBER 2025</t>
        </is>
      </c>
    </row>
    <row r="2" ht="24" customHeight="1">
      <c r="A2" s="2" t="inlineStr">
        <is>
          <t>Status Codes:  [P] Present (Green)  |  [CL] Casual Leave (Teal)  |  [L] Leave (Red)  |  [WO] Week Off (Purple)  |  [HO] Holiday (Mint)  |  [CF] Comp Off (Pink)  |  [-] Blank</t>
        </is>
      </c>
    </row>
    <row r="3" ht="10" customHeight="1"/>
    <row r="4" ht="36" customHeight="1">
      <c r="A4" s="26" t="inlineStr">
        <is>
          <t>Employee / Doctor</t>
        </is>
      </c>
      <c r="B4" s="27" t="inlineStr">
        <is>
          <t>1
Sat</t>
        </is>
      </c>
      <c r="C4" s="27" t="inlineStr">
        <is>
          <t>2
Sun</t>
        </is>
      </c>
      <c r="D4" s="27" t="inlineStr">
        <is>
          <t>3
Mon</t>
        </is>
      </c>
      <c r="E4" s="27" t="inlineStr">
        <is>
          <t>4
Tue</t>
        </is>
      </c>
      <c r="F4" s="27" t="inlineStr">
        <is>
          <t>5
Wed</t>
        </is>
      </c>
      <c r="G4" s="27" t="inlineStr">
        <is>
          <t>6
Thu</t>
        </is>
      </c>
      <c r="H4" s="27" t="inlineStr">
        <is>
          <t>7
Fri</t>
        </is>
      </c>
      <c r="I4" s="27" t="inlineStr">
        <is>
          <t>8
Sat</t>
        </is>
      </c>
      <c r="J4" s="27" t="inlineStr">
        <is>
          <t>9
Sun</t>
        </is>
      </c>
      <c r="K4" s="27" t="inlineStr">
        <is>
          <t>10
Mon</t>
        </is>
      </c>
      <c r="L4" s="27" t="inlineStr">
        <is>
          <t>11
Tue</t>
        </is>
      </c>
      <c r="M4" s="27" t="inlineStr">
        <is>
          <t>12
Wed</t>
        </is>
      </c>
      <c r="N4" s="27" t="inlineStr">
        <is>
          <t>13
Thu</t>
        </is>
      </c>
      <c r="O4" s="27" t="inlineStr">
        <is>
          <t>14
Fri</t>
        </is>
      </c>
      <c r="P4" s="27" t="inlineStr">
        <is>
          <t>15
Sat</t>
        </is>
      </c>
      <c r="Q4" s="27" t="inlineStr">
        <is>
          <t>16
Sun</t>
        </is>
      </c>
      <c r="R4" s="27" t="inlineStr">
        <is>
          <t>17
Mon</t>
        </is>
      </c>
      <c r="S4" s="27" t="inlineStr">
        <is>
          <t>18
Tue</t>
        </is>
      </c>
      <c r="T4" s="27" t="inlineStr">
        <is>
          <t>19
Wed</t>
        </is>
      </c>
      <c r="U4" s="27" t="inlineStr">
        <is>
          <t>20
Thu</t>
        </is>
      </c>
      <c r="V4" s="27" t="inlineStr">
        <is>
          <t>21
Fri</t>
        </is>
      </c>
      <c r="W4" s="27" t="inlineStr">
        <is>
          <t>22
Sat</t>
        </is>
      </c>
      <c r="X4" s="27" t="inlineStr">
        <is>
          <t>23
Sun</t>
        </is>
      </c>
      <c r="Y4" s="27" t="inlineStr">
        <is>
          <t>24
Mon</t>
        </is>
      </c>
      <c r="Z4" s="27" t="inlineStr">
        <is>
          <t>25
Tue</t>
        </is>
      </c>
      <c r="AA4" s="27" t="inlineStr">
        <is>
          <t>26
Wed</t>
        </is>
      </c>
      <c r="AB4" s="27" t="inlineStr">
        <is>
          <t>27
Thu</t>
        </is>
      </c>
      <c r="AC4" s="27" t="inlineStr">
        <is>
          <t>28
Fri</t>
        </is>
      </c>
      <c r="AD4" s="27" t="inlineStr">
        <is>
          <t>29
Sat</t>
        </is>
      </c>
      <c r="AE4" s="27" t="inlineStr">
        <is>
          <t>30
Sun</t>
        </is>
      </c>
      <c r="AF4" s="47" t="inlineStr">
        <is>
          <t>-</t>
        </is>
      </c>
      <c r="AG4" s="28" t="inlineStr">
        <is>
          <t>P</t>
        </is>
      </c>
      <c r="AH4" s="29" t="inlineStr">
        <is>
          <t>CL</t>
        </is>
      </c>
      <c r="AI4" s="30" t="inlineStr">
        <is>
          <t>L</t>
        </is>
      </c>
      <c r="AJ4" s="31" t="inlineStr">
        <is>
          <t>WO</t>
        </is>
      </c>
      <c r="AK4" s="32" t="inlineStr">
        <is>
          <t>HO</t>
        </is>
      </c>
      <c r="AL4" s="33" t="inlineStr">
        <is>
          <t>CF</t>
        </is>
      </c>
      <c r="AM4" s="27" t="inlineStr">
        <is>
          <t>Working
Days</t>
        </is>
      </c>
      <c r="AN4" s="34" t="inlineStr">
        <is>
          <t>Attendance
%</t>
        </is>
      </c>
    </row>
    <row r="5" ht="32" customHeight="1">
      <c r="A5" s="35" t="inlineStr">
        <is>
          <t>DR BINDU
Doctor</t>
        </is>
      </c>
      <c r="B5" s="38" t="inlineStr">
        <is>
          <t>-</t>
        </is>
      </c>
      <c r="C5" s="38" t="inlineStr">
        <is>
          <t>-</t>
        </is>
      </c>
      <c r="D5" s="38" t="inlineStr">
        <is>
          <t>-</t>
        </is>
      </c>
      <c r="E5" s="38" t="inlineStr">
        <is>
          <t>-</t>
        </is>
      </c>
      <c r="F5" s="38" t="inlineStr">
        <is>
          <t>-</t>
        </is>
      </c>
      <c r="G5" s="38" t="inlineStr">
        <is>
          <t>-</t>
        </is>
      </c>
      <c r="H5" s="38" t="inlineStr">
        <is>
          <t>-</t>
        </is>
      </c>
      <c r="I5" s="38" t="inlineStr">
        <is>
          <t>-</t>
        </is>
      </c>
      <c r="J5" s="38" t="inlineStr">
        <is>
          <t>-</t>
        </is>
      </c>
      <c r="K5" s="38" t="inlineStr">
        <is>
          <t>-</t>
        </is>
      </c>
      <c r="L5" s="38" t="inlineStr">
        <is>
          <t>-</t>
        </is>
      </c>
      <c r="M5" s="38" t="inlineStr">
        <is>
          <t>-</t>
        </is>
      </c>
      <c r="N5" s="38" t="inlineStr">
        <is>
          <t>-</t>
        </is>
      </c>
      <c r="O5" s="38" t="inlineStr">
        <is>
          <t>-</t>
        </is>
      </c>
      <c r="P5" s="38" t="inlineStr">
        <is>
          <t>-</t>
        </is>
      </c>
      <c r="Q5" s="38" t="inlineStr">
        <is>
          <t>-</t>
        </is>
      </c>
      <c r="R5" s="38" t="inlineStr">
        <is>
          <t>-</t>
        </is>
      </c>
      <c r="S5" s="38" t="inlineStr">
        <is>
          <t>-</t>
        </is>
      </c>
      <c r="T5" s="38" t="inlineStr">
        <is>
          <t>-</t>
        </is>
      </c>
      <c r="U5" s="38" t="inlineStr">
        <is>
          <t>-</t>
        </is>
      </c>
      <c r="V5" s="38" t="inlineStr">
        <is>
          <t>-</t>
        </is>
      </c>
      <c r="W5" s="38" t="inlineStr">
        <is>
          <t>-</t>
        </is>
      </c>
      <c r="X5" s="38" t="inlineStr">
        <is>
          <t>-</t>
        </is>
      </c>
      <c r="Y5" s="38" t="inlineStr">
        <is>
          <t>-</t>
        </is>
      </c>
      <c r="Z5" s="38" t="inlineStr">
        <is>
          <t>-</t>
        </is>
      </c>
      <c r="AA5" s="38" t="inlineStr">
        <is>
          <t>-</t>
        </is>
      </c>
      <c r="AB5" s="38" t="inlineStr">
        <is>
          <t>-</t>
        </is>
      </c>
      <c r="AC5" s="38" t="inlineStr">
        <is>
          <t>-</t>
        </is>
      </c>
      <c r="AD5" s="38" t="inlineStr">
        <is>
          <t>-</t>
        </is>
      </c>
      <c r="AE5" s="37" t="inlineStr">
        <is>
          <t>WO</t>
        </is>
      </c>
      <c r="AF5" s="48" t="inlineStr">
        <is>
          <t>-</t>
        </is>
      </c>
      <c r="AG5" s="39">
        <f>COUNTIF(B5:AE5, "P")</f>
        <v/>
      </c>
      <c r="AH5" s="15">
        <f>COUNTIF(B5:AE5, "CL")</f>
        <v/>
      </c>
      <c r="AI5" s="16">
        <f>COUNTIF(B5:AE5, "L")</f>
        <v/>
      </c>
      <c r="AJ5" s="17">
        <f>COUNTIF(B5:AE5, "WO")</f>
        <v/>
      </c>
      <c r="AK5" s="14">
        <f>COUNTIF(B5:AE5, "HO")</f>
        <v/>
      </c>
      <c r="AL5" s="18">
        <f>COUNTIF(B5:AE5, "CF")</f>
        <v/>
      </c>
      <c r="AM5" s="19">
        <f>AG5+AH5+AI5+AL5</f>
        <v/>
      </c>
      <c r="AN5" s="20">
        <f>IF(AM5&gt;0, AG5/AM5, 0)</f>
        <v/>
      </c>
    </row>
    <row r="6" ht="32" customHeight="1">
      <c r="A6" s="40" t="inlineStr">
        <is>
          <t>DR CHINJU
Doctor</t>
        </is>
      </c>
      <c r="B6" s="38" t="inlineStr">
        <is>
          <t>-</t>
        </is>
      </c>
      <c r="C6" s="38" t="inlineStr">
        <is>
          <t>-</t>
        </is>
      </c>
      <c r="D6" s="38" t="inlineStr">
        <is>
          <t>-</t>
        </is>
      </c>
      <c r="E6" s="38" t="inlineStr">
        <is>
          <t>-</t>
        </is>
      </c>
      <c r="F6" s="38" t="inlineStr">
        <is>
          <t>-</t>
        </is>
      </c>
      <c r="G6" s="38" t="inlineStr">
        <is>
          <t>-</t>
        </is>
      </c>
      <c r="H6" s="38" t="inlineStr">
        <is>
          <t>-</t>
        </is>
      </c>
      <c r="I6" s="38" t="inlineStr">
        <is>
          <t>-</t>
        </is>
      </c>
      <c r="J6" s="38" t="inlineStr">
        <is>
          <t>-</t>
        </is>
      </c>
      <c r="K6" s="38" t="inlineStr">
        <is>
          <t>-</t>
        </is>
      </c>
      <c r="L6" s="38" t="inlineStr">
        <is>
          <t>-</t>
        </is>
      </c>
      <c r="M6" s="38" t="inlineStr">
        <is>
          <t>-</t>
        </is>
      </c>
      <c r="N6" s="38" t="inlineStr">
        <is>
          <t>-</t>
        </is>
      </c>
      <c r="O6" s="38" t="inlineStr">
        <is>
          <t>-</t>
        </is>
      </c>
      <c r="P6" s="38" t="inlineStr">
        <is>
          <t>-</t>
        </is>
      </c>
      <c r="Q6" s="38" t="inlineStr">
        <is>
          <t>-</t>
        </is>
      </c>
      <c r="R6" s="38" t="inlineStr">
        <is>
          <t>-</t>
        </is>
      </c>
      <c r="S6" s="38" t="inlineStr">
        <is>
          <t>-</t>
        </is>
      </c>
      <c r="T6" s="38" t="inlineStr">
        <is>
          <t>-</t>
        </is>
      </c>
      <c r="U6" s="38" t="inlineStr">
        <is>
          <t>-</t>
        </is>
      </c>
      <c r="V6" s="38" t="inlineStr">
        <is>
          <t>-</t>
        </is>
      </c>
      <c r="W6" s="38" t="inlineStr">
        <is>
          <t>-</t>
        </is>
      </c>
      <c r="X6" s="38" t="inlineStr">
        <is>
          <t>-</t>
        </is>
      </c>
      <c r="Y6" s="38" t="inlineStr">
        <is>
          <t>-</t>
        </is>
      </c>
      <c r="Z6" s="38" t="inlineStr">
        <is>
          <t>-</t>
        </is>
      </c>
      <c r="AA6" s="38" t="inlineStr">
        <is>
          <t>-</t>
        </is>
      </c>
      <c r="AB6" s="38" t="inlineStr">
        <is>
          <t>-</t>
        </is>
      </c>
      <c r="AC6" s="38" t="inlineStr">
        <is>
          <t>-</t>
        </is>
      </c>
      <c r="AD6" s="38" t="inlineStr">
        <is>
          <t>-</t>
        </is>
      </c>
      <c r="AE6" s="37" t="inlineStr">
        <is>
          <t>WO</t>
        </is>
      </c>
      <c r="AF6" s="48" t="inlineStr">
        <is>
          <t>-</t>
        </is>
      </c>
      <c r="AG6" s="39">
        <f>COUNTIF(B6:AE6, "P")</f>
        <v/>
      </c>
      <c r="AH6" s="15">
        <f>COUNTIF(B6:AE6, "CL")</f>
        <v/>
      </c>
      <c r="AI6" s="16">
        <f>COUNTIF(B6:AE6, "L")</f>
        <v/>
      </c>
      <c r="AJ6" s="17">
        <f>COUNTIF(B6:AE6, "WO")</f>
        <v/>
      </c>
      <c r="AK6" s="14">
        <f>COUNTIF(B6:AE6, "HO")</f>
        <v/>
      </c>
      <c r="AL6" s="18">
        <f>COUNTIF(B6:AE6, "CF")</f>
        <v/>
      </c>
      <c r="AM6" s="19">
        <f>AG6+AH6+AI6+AL6</f>
        <v/>
      </c>
      <c r="AN6" s="20">
        <f>IF(AM6&gt;0, AG6/AM6, 0)</f>
        <v/>
      </c>
    </row>
    <row r="7" ht="32" customHeight="1">
      <c r="A7" s="35" t="inlineStr">
        <is>
          <t>DR PRANAY
Doctor</t>
        </is>
      </c>
      <c r="B7" s="38" t="inlineStr">
        <is>
          <t>-</t>
        </is>
      </c>
      <c r="C7" s="38" t="inlineStr">
        <is>
          <t>-</t>
        </is>
      </c>
      <c r="D7" s="38" t="inlineStr">
        <is>
          <t>-</t>
        </is>
      </c>
      <c r="E7" s="38" t="inlineStr">
        <is>
          <t>-</t>
        </is>
      </c>
      <c r="F7" s="38" t="inlineStr">
        <is>
          <t>-</t>
        </is>
      </c>
      <c r="G7" s="38" t="inlineStr">
        <is>
          <t>-</t>
        </is>
      </c>
      <c r="H7" s="38" t="inlineStr">
        <is>
          <t>-</t>
        </is>
      </c>
      <c r="I7" s="38" t="inlineStr">
        <is>
          <t>-</t>
        </is>
      </c>
      <c r="J7" s="38" t="inlineStr">
        <is>
          <t>-</t>
        </is>
      </c>
      <c r="K7" s="38" t="inlineStr">
        <is>
          <t>-</t>
        </is>
      </c>
      <c r="L7" s="38" t="inlineStr">
        <is>
          <t>-</t>
        </is>
      </c>
      <c r="M7" s="38" t="inlineStr">
        <is>
          <t>-</t>
        </is>
      </c>
      <c r="N7" s="38" t="inlineStr">
        <is>
          <t>-</t>
        </is>
      </c>
      <c r="O7" s="38" t="inlineStr">
        <is>
          <t>-</t>
        </is>
      </c>
      <c r="P7" s="38" t="inlineStr">
        <is>
          <t>-</t>
        </is>
      </c>
      <c r="Q7" s="38" t="inlineStr">
        <is>
          <t>-</t>
        </is>
      </c>
      <c r="R7" s="38" t="inlineStr">
        <is>
          <t>-</t>
        </is>
      </c>
      <c r="S7" s="38" t="inlineStr">
        <is>
          <t>-</t>
        </is>
      </c>
      <c r="T7" s="38" t="inlineStr">
        <is>
          <t>-</t>
        </is>
      </c>
      <c r="U7" s="38" t="inlineStr">
        <is>
          <t>-</t>
        </is>
      </c>
      <c r="V7" s="38" t="inlineStr">
        <is>
          <t>-</t>
        </is>
      </c>
      <c r="W7" s="38" t="inlineStr">
        <is>
          <t>-</t>
        </is>
      </c>
      <c r="X7" s="38" t="inlineStr">
        <is>
          <t>-</t>
        </is>
      </c>
      <c r="Y7" s="38" t="inlineStr">
        <is>
          <t>-</t>
        </is>
      </c>
      <c r="Z7" s="38" t="inlineStr">
        <is>
          <t>-</t>
        </is>
      </c>
      <c r="AA7" s="38" t="inlineStr">
        <is>
          <t>-</t>
        </is>
      </c>
      <c r="AB7" s="38" t="inlineStr">
        <is>
          <t>-</t>
        </is>
      </c>
      <c r="AC7" s="38" t="inlineStr">
        <is>
          <t>-</t>
        </is>
      </c>
      <c r="AD7" s="38" t="inlineStr">
        <is>
          <t>-</t>
        </is>
      </c>
      <c r="AE7" s="37" t="inlineStr">
        <is>
          <t>WO</t>
        </is>
      </c>
      <c r="AF7" s="48" t="inlineStr">
        <is>
          <t>-</t>
        </is>
      </c>
      <c r="AG7" s="39">
        <f>COUNTIF(B7:AE7, "P")</f>
        <v/>
      </c>
      <c r="AH7" s="15">
        <f>COUNTIF(B7:AE7, "CL")</f>
        <v/>
      </c>
      <c r="AI7" s="16">
        <f>COUNTIF(B7:AE7, "L")</f>
        <v/>
      </c>
      <c r="AJ7" s="17">
        <f>COUNTIF(B7:AE7, "WO")</f>
        <v/>
      </c>
      <c r="AK7" s="14">
        <f>COUNTIF(B7:AE7, "HO")</f>
        <v/>
      </c>
      <c r="AL7" s="18">
        <f>COUNTIF(B7:AE7, "CF")</f>
        <v/>
      </c>
      <c r="AM7" s="19">
        <f>AG7+AH7+AI7+AL7</f>
        <v/>
      </c>
      <c r="AN7" s="20">
        <f>IF(AM7&gt;0, AG7/AM7, 0)</f>
        <v/>
      </c>
    </row>
    <row r="8" ht="32" customHeight="1">
      <c r="A8" s="40" t="inlineStr">
        <is>
          <t>DR SUNITHA
Doctor</t>
        </is>
      </c>
      <c r="B8" s="38" t="inlineStr">
        <is>
          <t>-</t>
        </is>
      </c>
      <c r="C8" s="38" t="inlineStr">
        <is>
          <t>-</t>
        </is>
      </c>
      <c r="D8" s="38" t="inlineStr">
        <is>
          <t>-</t>
        </is>
      </c>
      <c r="E8" s="38" t="inlineStr">
        <is>
          <t>-</t>
        </is>
      </c>
      <c r="F8" s="38" t="inlineStr">
        <is>
          <t>-</t>
        </is>
      </c>
      <c r="G8" s="38" t="inlineStr">
        <is>
          <t>-</t>
        </is>
      </c>
      <c r="H8" s="38" t="inlineStr">
        <is>
          <t>-</t>
        </is>
      </c>
      <c r="I8" s="38" t="inlineStr">
        <is>
          <t>-</t>
        </is>
      </c>
      <c r="J8" s="38" t="inlineStr">
        <is>
          <t>-</t>
        </is>
      </c>
      <c r="K8" s="38" t="inlineStr">
        <is>
          <t>-</t>
        </is>
      </c>
      <c r="L8" s="38" t="inlineStr">
        <is>
          <t>-</t>
        </is>
      </c>
      <c r="M8" s="38" t="inlineStr">
        <is>
          <t>-</t>
        </is>
      </c>
      <c r="N8" s="38" t="inlineStr">
        <is>
          <t>-</t>
        </is>
      </c>
      <c r="O8" s="38" t="inlineStr">
        <is>
          <t>-</t>
        </is>
      </c>
      <c r="P8" s="38" t="inlineStr">
        <is>
          <t>-</t>
        </is>
      </c>
      <c r="Q8" s="38" t="inlineStr">
        <is>
          <t>-</t>
        </is>
      </c>
      <c r="R8" s="38" t="inlineStr">
        <is>
          <t>-</t>
        </is>
      </c>
      <c r="S8" s="38" t="inlineStr">
        <is>
          <t>-</t>
        </is>
      </c>
      <c r="T8" s="38" t="inlineStr">
        <is>
          <t>-</t>
        </is>
      </c>
      <c r="U8" s="38" t="inlineStr">
        <is>
          <t>-</t>
        </is>
      </c>
      <c r="V8" s="38" t="inlineStr">
        <is>
          <t>-</t>
        </is>
      </c>
      <c r="W8" s="38" t="inlineStr">
        <is>
          <t>-</t>
        </is>
      </c>
      <c r="X8" s="38" t="inlineStr">
        <is>
          <t>-</t>
        </is>
      </c>
      <c r="Y8" s="38" t="inlineStr">
        <is>
          <t>-</t>
        </is>
      </c>
      <c r="Z8" s="38" t="inlineStr">
        <is>
          <t>-</t>
        </is>
      </c>
      <c r="AA8" s="38" t="inlineStr">
        <is>
          <t>-</t>
        </is>
      </c>
      <c r="AB8" s="38" t="inlineStr">
        <is>
          <t>-</t>
        </is>
      </c>
      <c r="AC8" s="38" t="inlineStr">
        <is>
          <t>-</t>
        </is>
      </c>
      <c r="AD8" s="38" t="inlineStr">
        <is>
          <t>-</t>
        </is>
      </c>
      <c r="AE8" s="37" t="inlineStr">
        <is>
          <t>WO</t>
        </is>
      </c>
      <c r="AF8" s="48" t="inlineStr">
        <is>
          <t>-</t>
        </is>
      </c>
      <c r="AG8" s="39">
        <f>COUNTIF(B8:AE8, "P")</f>
        <v/>
      </c>
      <c r="AH8" s="15">
        <f>COUNTIF(B8:AE8, "CL")</f>
        <v/>
      </c>
      <c r="AI8" s="16">
        <f>COUNTIF(B8:AE8, "L")</f>
        <v/>
      </c>
      <c r="AJ8" s="17">
        <f>COUNTIF(B8:AE8, "WO")</f>
        <v/>
      </c>
      <c r="AK8" s="14">
        <f>COUNTIF(B8:AE8, "HO")</f>
        <v/>
      </c>
      <c r="AL8" s="18">
        <f>COUNTIF(B8:AE8, "CF")</f>
        <v/>
      </c>
      <c r="AM8" s="19">
        <f>AG8+AH8+AI8+AL8</f>
        <v/>
      </c>
      <c r="AN8" s="20">
        <f>IF(AM8&gt;0, AG8/AM8, 0)</f>
        <v/>
      </c>
    </row>
    <row r="9" ht="32" customHeight="1">
      <c r="A9" s="35" t="inlineStr">
        <is>
          <t>DR VARUN
Doctor</t>
        </is>
      </c>
      <c r="B9" s="38" t="inlineStr">
        <is>
          <t>-</t>
        </is>
      </c>
      <c r="C9" s="38" t="inlineStr">
        <is>
          <t>-</t>
        </is>
      </c>
      <c r="D9" s="38" t="inlineStr">
        <is>
          <t>-</t>
        </is>
      </c>
      <c r="E9" s="38" t="inlineStr">
        <is>
          <t>-</t>
        </is>
      </c>
      <c r="F9" s="38" t="inlineStr">
        <is>
          <t>-</t>
        </is>
      </c>
      <c r="G9" s="38" t="inlineStr">
        <is>
          <t>-</t>
        </is>
      </c>
      <c r="H9" s="38" t="inlineStr">
        <is>
          <t>-</t>
        </is>
      </c>
      <c r="I9" s="38" t="inlineStr">
        <is>
          <t>-</t>
        </is>
      </c>
      <c r="J9" s="38" t="inlineStr">
        <is>
          <t>-</t>
        </is>
      </c>
      <c r="K9" s="38" t="inlineStr">
        <is>
          <t>-</t>
        </is>
      </c>
      <c r="L9" s="38" t="inlineStr">
        <is>
          <t>-</t>
        </is>
      </c>
      <c r="M9" s="38" t="inlineStr">
        <is>
          <t>-</t>
        </is>
      </c>
      <c r="N9" s="38" t="inlineStr">
        <is>
          <t>-</t>
        </is>
      </c>
      <c r="O9" s="38" t="inlineStr">
        <is>
          <t>-</t>
        </is>
      </c>
      <c r="P9" s="38" t="inlineStr">
        <is>
          <t>-</t>
        </is>
      </c>
      <c r="Q9" s="38" t="inlineStr">
        <is>
          <t>-</t>
        </is>
      </c>
      <c r="R9" s="38" t="inlineStr">
        <is>
          <t>-</t>
        </is>
      </c>
      <c r="S9" s="38" t="inlineStr">
        <is>
          <t>-</t>
        </is>
      </c>
      <c r="T9" s="38" t="inlineStr">
        <is>
          <t>-</t>
        </is>
      </c>
      <c r="U9" s="38" t="inlineStr">
        <is>
          <t>-</t>
        </is>
      </c>
      <c r="V9" s="38" t="inlineStr">
        <is>
          <t>-</t>
        </is>
      </c>
      <c r="W9" s="38" t="inlineStr">
        <is>
          <t>-</t>
        </is>
      </c>
      <c r="X9" s="38" t="inlineStr">
        <is>
          <t>-</t>
        </is>
      </c>
      <c r="Y9" s="38" t="inlineStr">
        <is>
          <t>-</t>
        </is>
      </c>
      <c r="Z9" s="38" t="inlineStr">
        <is>
          <t>-</t>
        </is>
      </c>
      <c r="AA9" s="38" t="inlineStr">
        <is>
          <t>-</t>
        </is>
      </c>
      <c r="AB9" s="38" t="inlineStr">
        <is>
          <t>-</t>
        </is>
      </c>
      <c r="AC9" s="38" t="inlineStr">
        <is>
          <t>-</t>
        </is>
      </c>
      <c r="AD9" s="38" t="inlineStr">
        <is>
          <t>-</t>
        </is>
      </c>
      <c r="AE9" s="38" t="inlineStr">
        <is>
          <t>-</t>
        </is>
      </c>
      <c r="AF9" s="48" t="inlineStr">
        <is>
          <t>-</t>
        </is>
      </c>
      <c r="AG9" s="39">
        <f>COUNTIF(B9:AE9, "P")</f>
        <v/>
      </c>
      <c r="AH9" s="15">
        <f>COUNTIF(B9:AE9, "CL")</f>
        <v/>
      </c>
      <c r="AI9" s="16">
        <f>COUNTIF(B9:AE9, "L")</f>
        <v/>
      </c>
      <c r="AJ9" s="17">
        <f>COUNTIF(B9:AE9, "WO")</f>
        <v/>
      </c>
      <c r="AK9" s="14">
        <f>COUNTIF(B9:AE9, "HO")</f>
        <v/>
      </c>
      <c r="AL9" s="18">
        <f>COUNTIF(B9:AE9, "CF")</f>
        <v/>
      </c>
      <c r="AM9" s="19">
        <f>AG9+AH9+AI9+AL9</f>
        <v/>
      </c>
      <c r="AN9" s="20">
        <f>IF(AM9&gt;0, AG9/AM9, 0)</f>
        <v/>
      </c>
    </row>
    <row r="10" ht="32" customHeight="1">
      <c r="A10" s="40" t="inlineStr">
        <is>
          <t>CHANIKYA
Employee</t>
        </is>
      </c>
      <c r="B10" s="36" t="inlineStr">
        <is>
          <t>P</t>
        </is>
      </c>
      <c r="C10" s="37" t="inlineStr">
        <is>
          <t>WO</t>
        </is>
      </c>
      <c r="D10" s="36" t="inlineStr">
        <is>
          <t>P</t>
        </is>
      </c>
      <c r="E10" s="36" t="inlineStr">
        <is>
          <t>P</t>
        </is>
      </c>
      <c r="F10" s="36" t="inlineStr">
        <is>
          <t>P</t>
        </is>
      </c>
      <c r="G10" s="36" t="inlineStr">
        <is>
          <t>P</t>
        </is>
      </c>
      <c r="H10" s="36" t="inlineStr">
        <is>
          <t>P</t>
        </is>
      </c>
      <c r="I10" s="36" t="inlineStr">
        <is>
          <t>P</t>
        </is>
      </c>
      <c r="J10" s="37" t="inlineStr">
        <is>
          <t>WO</t>
        </is>
      </c>
      <c r="K10" s="36" t="inlineStr">
        <is>
          <t>P</t>
        </is>
      </c>
      <c r="L10" s="36" t="inlineStr">
        <is>
          <t>P</t>
        </is>
      </c>
      <c r="M10" s="36" t="inlineStr">
        <is>
          <t>P</t>
        </is>
      </c>
      <c r="N10" s="36" t="inlineStr">
        <is>
          <t>P</t>
        </is>
      </c>
      <c r="O10" s="36" t="inlineStr">
        <is>
          <t>P</t>
        </is>
      </c>
      <c r="P10" s="36" t="inlineStr">
        <is>
          <t>P</t>
        </is>
      </c>
      <c r="Q10" s="37" t="inlineStr">
        <is>
          <t>WO</t>
        </is>
      </c>
      <c r="R10" s="36" t="inlineStr">
        <is>
          <t>P</t>
        </is>
      </c>
      <c r="S10" s="36" t="inlineStr">
        <is>
          <t>P</t>
        </is>
      </c>
      <c r="T10" s="36" t="inlineStr">
        <is>
          <t>P</t>
        </is>
      </c>
      <c r="U10" s="36" t="inlineStr">
        <is>
          <t>P</t>
        </is>
      </c>
      <c r="V10" s="36" t="inlineStr">
        <is>
          <t>P</t>
        </is>
      </c>
      <c r="W10" s="36" t="inlineStr">
        <is>
          <t>P</t>
        </is>
      </c>
      <c r="X10" s="37" t="inlineStr">
        <is>
          <t>WO</t>
        </is>
      </c>
      <c r="Y10" s="36" t="inlineStr">
        <is>
          <t>P</t>
        </is>
      </c>
      <c r="Z10" s="36" t="inlineStr">
        <is>
          <t>P</t>
        </is>
      </c>
      <c r="AA10" s="36" t="inlineStr">
        <is>
          <t>P</t>
        </is>
      </c>
      <c r="AB10" s="36" t="inlineStr">
        <is>
          <t>P</t>
        </is>
      </c>
      <c r="AC10" s="36" t="inlineStr">
        <is>
          <t>P</t>
        </is>
      </c>
      <c r="AD10" s="38" t="inlineStr">
        <is>
          <t>-</t>
        </is>
      </c>
      <c r="AE10" s="37" t="inlineStr">
        <is>
          <t>WO</t>
        </is>
      </c>
      <c r="AF10" s="48" t="inlineStr">
        <is>
          <t>-</t>
        </is>
      </c>
      <c r="AG10" s="39">
        <f>COUNTIF(B10:AE10, "P")</f>
        <v/>
      </c>
      <c r="AH10" s="15">
        <f>COUNTIF(B10:AE10, "CL")</f>
        <v/>
      </c>
      <c r="AI10" s="16">
        <f>COUNTIF(B10:AE10, "L")</f>
        <v/>
      </c>
      <c r="AJ10" s="17">
        <f>COUNTIF(B10:AE10, "WO")</f>
        <v/>
      </c>
      <c r="AK10" s="14">
        <f>COUNTIF(B10:AE10, "HO")</f>
        <v/>
      </c>
      <c r="AL10" s="18">
        <f>COUNTIF(B10:AE10, "CF")</f>
        <v/>
      </c>
      <c r="AM10" s="19">
        <f>AG10+AH10+AI10+AL10</f>
        <v/>
      </c>
      <c r="AN10" s="20">
        <f>IF(AM10&gt;0, AG10/AM10, 0)</f>
        <v/>
      </c>
    </row>
    <row r="11" ht="32" customHeight="1">
      <c r="A11" s="35" t="inlineStr">
        <is>
          <t>Ch Praveen Kumar
Employee</t>
        </is>
      </c>
      <c r="B11" s="36" t="inlineStr">
        <is>
          <t>P</t>
        </is>
      </c>
      <c r="C11" s="37" t="inlineStr">
        <is>
          <t>WO</t>
        </is>
      </c>
      <c r="D11" s="36" t="inlineStr">
        <is>
          <t>P</t>
        </is>
      </c>
      <c r="E11" s="36" t="inlineStr">
        <is>
          <t>P</t>
        </is>
      </c>
      <c r="F11" s="36" t="inlineStr">
        <is>
          <t>P</t>
        </is>
      </c>
      <c r="G11" s="36" t="inlineStr">
        <is>
          <t>P</t>
        </is>
      </c>
      <c r="H11" s="36" t="inlineStr">
        <is>
          <t>P</t>
        </is>
      </c>
      <c r="I11" s="36" t="inlineStr">
        <is>
          <t>P</t>
        </is>
      </c>
      <c r="J11" s="37" t="inlineStr">
        <is>
          <t>WO</t>
        </is>
      </c>
      <c r="K11" s="36" t="inlineStr">
        <is>
          <t>P</t>
        </is>
      </c>
      <c r="L11" s="36" t="inlineStr">
        <is>
          <t>P</t>
        </is>
      </c>
      <c r="M11" s="36" t="inlineStr">
        <is>
          <t>P</t>
        </is>
      </c>
      <c r="N11" s="36" t="inlineStr">
        <is>
          <t>P</t>
        </is>
      </c>
      <c r="O11" s="36" t="inlineStr">
        <is>
          <t>P</t>
        </is>
      </c>
      <c r="P11" s="36" t="inlineStr">
        <is>
          <t>P</t>
        </is>
      </c>
      <c r="Q11" s="37" t="inlineStr">
        <is>
          <t>WO</t>
        </is>
      </c>
      <c r="R11" s="36" t="inlineStr">
        <is>
          <t>P</t>
        </is>
      </c>
      <c r="S11" s="36" t="inlineStr">
        <is>
          <t>P</t>
        </is>
      </c>
      <c r="T11" s="36" t="inlineStr">
        <is>
          <t>P</t>
        </is>
      </c>
      <c r="U11" s="36" t="inlineStr">
        <is>
          <t>P</t>
        </is>
      </c>
      <c r="V11" s="36" t="inlineStr">
        <is>
          <t>P</t>
        </is>
      </c>
      <c r="W11" s="36" t="inlineStr">
        <is>
          <t>P</t>
        </is>
      </c>
      <c r="X11" s="37" t="inlineStr">
        <is>
          <t>WO</t>
        </is>
      </c>
      <c r="Y11" s="36" t="inlineStr">
        <is>
          <t>P</t>
        </is>
      </c>
      <c r="Z11" s="36" t="inlineStr">
        <is>
          <t>P</t>
        </is>
      </c>
      <c r="AA11" s="36" t="inlineStr">
        <is>
          <t>P</t>
        </is>
      </c>
      <c r="AB11" s="36" t="inlineStr">
        <is>
          <t>P</t>
        </is>
      </c>
      <c r="AC11" s="36" t="inlineStr">
        <is>
          <t>P</t>
        </is>
      </c>
      <c r="AD11" s="38" t="inlineStr">
        <is>
          <t>-</t>
        </is>
      </c>
      <c r="AE11" s="37" t="inlineStr">
        <is>
          <t>WO</t>
        </is>
      </c>
      <c r="AF11" s="48" t="inlineStr">
        <is>
          <t>-</t>
        </is>
      </c>
      <c r="AG11" s="39">
        <f>COUNTIF(B11:AE11, "P")</f>
        <v/>
      </c>
      <c r="AH11" s="15">
        <f>COUNTIF(B11:AE11, "CL")</f>
        <v/>
      </c>
      <c r="AI11" s="16">
        <f>COUNTIF(B11:AE11, "L")</f>
        <v/>
      </c>
      <c r="AJ11" s="17">
        <f>COUNTIF(B11:AE11, "WO")</f>
        <v/>
      </c>
      <c r="AK11" s="14">
        <f>COUNTIF(B11:AE11, "HO")</f>
        <v/>
      </c>
      <c r="AL11" s="18">
        <f>COUNTIF(B11:AE11, "CF")</f>
        <v/>
      </c>
      <c r="AM11" s="19">
        <f>AG11+AH11+AI11+AL11</f>
        <v/>
      </c>
      <c r="AN11" s="20">
        <f>IF(AM11&gt;0, AG11/AM11, 0)</f>
        <v/>
      </c>
    </row>
    <row r="12" ht="32" customHeight="1">
      <c r="A12" s="40" t="inlineStr">
        <is>
          <t>NEELIMA
Employee</t>
        </is>
      </c>
      <c r="B12" s="36" t="inlineStr">
        <is>
          <t>P</t>
        </is>
      </c>
      <c r="C12" s="37" t="inlineStr">
        <is>
          <t>WO</t>
        </is>
      </c>
      <c r="D12" s="36" t="inlineStr">
        <is>
          <t>P</t>
        </is>
      </c>
      <c r="E12" s="36" t="inlineStr">
        <is>
          <t>P</t>
        </is>
      </c>
      <c r="F12" s="36" t="inlineStr">
        <is>
          <t>P</t>
        </is>
      </c>
      <c r="G12" s="36" t="inlineStr">
        <is>
          <t>P</t>
        </is>
      </c>
      <c r="H12" s="36" t="inlineStr">
        <is>
          <t>P</t>
        </is>
      </c>
      <c r="I12" s="36" t="inlineStr">
        <is>
          <t>P</t>
        </is>
      </c>
      <c r="J12" s="37" t="inlineStr">
        <is>
          <t>WO</t>
        </is>
      </c>
      <c r="K12" s="36" t="inlineStr">
        <is>
          <t>P</t>
        </is>
      </c>
      <c r="L12" s="36" t="inlineStr">
        <is>
          <t>P</t>
        </is>
      </c>
      <c r="M12" s="36" t="inlineStr">
        <is>
          <t>P</t>
        </is>
      </c>
      <c r="N12" s="36" t="inlineStr">
        <is>
          <t>P</t>
        </is>
      </c>
      <c r="O12" s="36" t="inlineStr">
        <is>
          <t>P</t>
        </is>
      </c>
      <c r="P12" s="36" t="inlineStr">
        <is>
          <t>P</t>
        </is>
      </c>
      <c r="Q12" s="37" t="inlineStr">
        <is>
          <t>WO</t>
        </is>
      </c>
      <c r="R12" s="36" t="inlineStr">
        <is>
          <t>P</t>
        </is>
      </c>
      <c r="S12" s="36" t="inlineStr">
        <is>
          <t>P</t>
        </is>
      </c>
      <c r="T12" s="36" t="inlineStr">
        <is>
          <t>P</t>
        </is>
      </c>
      <c r="U12" s="36" t="inlineStr">
        <is>
          <t>P</t>
        </is>
      </c>
      <c r="V12" s="36" t="inlineStr">
        <is>
          <t>P</t>
        </is>
      </c>
      <c r="W12" s="36" t="inlineStr">
        <is>
          <t>P</t>
        </is>
      </c>
      <c r="X12" s="37" t="inlineStr">
        <is>
          <t>WO</t>
        </is>
      </c>
      <c r="Y12" s="36" t="inlineStr">
        <is>
          <t>P</t>
        </is>
      </c>
      <c r="Z12" s="36" t="inlineStr">
        <is>
          <t>P</t>
        </is>
      </c>
      <c r="AA12" s="36" t="inlineStr">
        <is>
          <t>P</t>
        </is>
      </c>
      <c r="AB12" s="36" t="inlineStr">
        <is>
          <t>P</t>
        </is>
      </c>
      <c r="AC12" s="36" t="inlineStr">
        <is>
          <t>P</t>
        </is>
      </c>
      <c r="AD12" s="38" t="inlineStr">
        <is>
          <t>-</t>
        </is>
      </c>
      <c r="AE12" s="37" t="inlineStr">
        <is>
          <t>WO</t>
        </is>
      </c>
      <c r="AF12" s="48" t="inlineStr">
        <is>
          <t>-</t>
        </is>
      </c>
      <c r="AG12" s="39">
        <f>COUNTIF(B12:AE12, "P")</f>
        <v/>
      </c>
      <c r="AH12" s="15">
        <f>COUNTIF(B12:AE12, "CL")</f>
        <v/>
      </c>
      <c r="AI12" s="16">
        <f>COUNTIF(B12:AE12, "L")</f>
        <v/>
      </c>
      <c r="AJ12" s="17">
        <f>COUNTIF(B12:AE12, "WO")</f>
        <v/>
      </c>
      <c r="AK12" s="14">
        <f>COUNTIF(B12:AE12, "HO")</f>
        <v/>
      </c>
      <c r="AL12" s="18">
        <f>COUNTIF(B12:AE12, "CF")</f>
        <v/>
      </c>
      <c r="AM12" s="19">
        <f>AG12+AH12+AI12+AL12</f>
        <v/>
      </c>
      <c r="AN12" s="20">
        <f>IF(AM12&gt;0, AG12/AM12, 0)</f>
        <v/>
      </c>
    </row>
    <row r="13" ht="32" customHeight="1">
      <c r="A13" s="35" t="inlineStr">
        <is>
          <t>MANI
Employee</t>
        </is>
      </c>
      <c r="B13" s="36" t="inlineStr">
        <is>
          <t>P</t>
        </is>
      </c>
      <c r="C13" s="37" t="inlineStr">
        <is>
          <t>WO</t>
        </is>
      </c>
      <c r="D13" s="36" t="inlineStr">
        <is>
          <t>P</t>
        </is>
      </c>
      <c r="E13" s="41" t="inlineStr">
        <is>
          <t>CL</t>
        </is>
      </c>
      <c r="F13" s="36" t="inlineStr">
        <is>
          <t>P</t>
        </is>
      </c>
      <c r="G13" s="36" t="inlineStr">
        <is>
          <t>P</t>
        </is>
      </c>
      <c r="H13" s="36" t="inlineStr">
        <is>
          <t>P</t>
        </is>
      </c>
      <c r="I13" s="36" t="inlineStr">
        <is>
          <t>P</t>
        </is>
      </c>
      <c r="J13" s="37" t="inlineStr">
        <is>
          <t>WO</t>
        </is>
      </c>
      <c r="K13" s="36" t="inlineStr">
        <is>
          <t>P</t>
        </is>
      </c>
      <c r="L13" s="36" t="inlineStr">
        <is>
          <t>P</t>
        </is>
      </c>
      <c r="M13" s="36" t="inlineStr">
        <is>
          <t>P</t>
        </is>
      </c>
      <c r="N13" s="36" t="inlineStr">
        <is>
          <t>P</t>
        </is>
      </c>
      <c r="O13" s="36" t="inlineStr">
        <is>
          <t>P</t>
        </is>
      </c>
      <c r="P13" s="36" t="inlineStr">
        <is>
          <t>P</t>
        </is>
      </c>
      <c r="Q13" s="37" t="inlineStr">
        <is>
          <t>WO</t>
        </is>
      </c>
      <c r="R13" s="36" t="inlineStr">
        <is>
          <t>P</t>
        </is>
      </c>
      <c r="S13" s="36" t="inlineStr">
        <is>
          <t>P</t>
        </is>
      </c>
      <c r="T13" s="36" t="inlineStr">
        <is>
          <t>P</t>
        </is>
      </c>
      <c r="U13" s="42" t="inlineStr">
        <is>
          <t>L</t>
        </is>
      </c>
      <c r="V13" s="36" t="inlineStr">
        <is>
          <t>P</t>
        </is>
      </c>
      <c r="W13" s="36" t="inlineStr">
        <is>
          <t>P</t>
        </is>
      </c>
      <c r="X13" s="36" t="inlineStr">
        <is>
          <t>P</t>
        </is>
      </c>
      <c r="Y13" s="36" t="inlineStr">
        <is>
          <t>P</t>
        </is>
      </c>
      <c r="Z13" s="36" t="inlineStr">
        <is>
          <t>P</t>
        </is>
      </c>
      <c r="AA13" s="36" t="inlineStr">
        <is>
          <t>P</t>
        </is>
      </c>
      <c r="AB13" s="36" t="inlineStr">
        <is>
          <t>P</t>
        </is>
      </c>
      <c r="AC13" s="36" t="inlineStr">
        <is>
          <t>P</t>
        </is>
      </c>
      <c r="AD13" s="38" t="inlineStr">
        <is>
          <t>-</t>
        </is>
      </c>
      <c r="AE13" s="37" t="inlineStr">
        <is>
          <t>WO</t>
        </is>
      </c>
      <c r="AF13" s="48" t="inlineStr">
        <is>
          <t>-</t>
        </is>
      </c>
      <c r="AG13" s="39">
        <f>COUNTIF(B13:AE13, "P")</f>
        <v/>
      </c>
      <c r="AH13" s="15">
        <f>COUNTIF(B13:AE13, "CL")</f>
        <v/>
      </c>
      <c r="AI13" s="16">
        <f>COUNTIF(B13:AE13, "L")</f>
        <v/>
      </c>
      <c r="AJ13" s="17">
        <f>COUNTIF(B13:AE13, "WO")</f>
        <v/>
      </c>
      <c r="AK13" s="14">
        <f>COUNTIF(B13:AE13, "HO")</f>
        <v/>
      </c>
      <c r="AL13" s="18">
        <f>COUNTIF(B13:AE13, "CF")</f>
        <v/>
      </c>
      <c r="AM13" s="19">
        <f>AG13+AH13+AI13+AL13</f>
        <v/>
      </c>
      <c r="AN13" s="20">
        <f>IF(AM13&gt;0, AG13/AM13, 0)</f>
        <v/>
      </c>
    </row>
    <row r="14" ht="32" customHeight="1">
      <c r="A14" s="40" t="inlineStr">
        <is>
          <t>RAMESH
Employee</t>
        </is>
      </c>
      <c r="B14" s="41" t="inlineStr">
        <is>
          <t>CL</t>
        </is>
      </c>
      <c r="C14" s="37" t="inlineStr">
        <is>
          <t>WO</t>
        </is>
      </c>
      <c r="D14" s="42" t="inlineStr">
        <is>
          <t>L</t>
        </is>
      </c>
      <c r="E14" s="36" t="inlineStr">
        <is>
          <t>P</t>
        </is>
      </c>
      <c r="F14" s="36" t="inlineStr">
        <is>
          <t>P</t>
        </is>
      </c>
      <c r="G14" s="36" t="inlineStr">
        <is>
          <t>P</t>
        </is>
      </c>
      <c r="H14" s="36" t="inlineStr">
        <is>
          <t>P</t>
        </is>
      </c>
      <c r="I14" s="36" t="inlineStr">
        <is>
          <t>P</t>
        </is>
      </c>
      <c r="J14" s="37" t="inlineStr">
        <is>
          <t>WO</t>
        </is>
      </c>
      <c r="K14" s="36" t="inlineStr">
        <is>
          <t>P</t>
        </is>
      </c>
      <c r="L14" s="36" t="inlineStr">
        <is>
          <t>P</t>
        </is>
      </c>
      <c r="M14" s="36" t="inlineStr">
        <is>
          <t>P</t>
        </is>
      </c>
      <c r="N14" s="36" t="inlineStr">
        <is>
          <t>P</t>
        </is>
      </c>
      <c r="O14" s="36" t="inlineStr">
        <is>
          <t>P</t>
        </is>
      </c>
      <c r="P14" s="36" t="inlineStr">
        <is>
          <t>P</t>
        </is>
      </c>
      <c r="Q14" s="37" t="inlineStr">
        <is>
          <t>WO</t>
        </is>
      </c>
      <c r="R14" s="36" t="inlineStr">
        <is>
          <t>P</t>
        </is>
      </c>
      <c r="S14" s="36" t="inlineStr">
        <is>
          <t>P</t>
        </is>
      </c>
      <c r="T14" s="36" t="inlineStr">
        <is>
          <t>P</t>
        </is>
      </c>
      <c r="U14" s="36" t="inlineStr">
        <is>
          <t>P</t>
        </is>
      </c>
      <c r="V14" s="36" t="inlineStr">
        <is>
          <t>P</t>
        </is>
      </c>
      <c r="W14" s="36" t="inlineStr">
        <is>
          <t>P</t>
        </is>
      </c>
      <c r="X14" s="37" t="inlineStr">
        <is>
          <t>WO</t>
        </is>
      </c>
      <c r="Y14" s="36" t="inlineStr">
        <is>
          <t>P</t>
        </is>
      </c>
      <c r="Z14" s="36" t="inlineStr">
        <is>
          <t>P</t>
        </is>
      </c>
      <c r="AA14" s="36" t="inlineStr">
        <is>
          <t>P</t>
        </is>
      </c>
      <c r="AB14" s="36" t="inlineStr">
        <is>
          <t>P</t>
        </is>
      </c>
      <c r="AC14" s="36" t="inlineStr">
        <is>
          <t>P</t>
        </is>
      </c>
      <c r="AD14" s="38" t="inlineStr">
        <is>
          <t>-</t>
        </is>
      </c>
      <c r="AE14" s="37" t="inlineStr">
        <is>
          <t>WO</t>
        </is>
      </c>
      <c r="AF14" s="48" t="inlineStr">
        <is>
          <t>-</t>
        </is>
      </c>
      <c r="AG14" s="39">
        <f>COUNTIF(B14:AE14, "P")</f>
        <v/>
      </c>
      <c r="AH14" s="15">
        <f>COUNTIF(B14:AE14, "CL")</f>
        <v/>
      </c>
      <c r="AI14" s="16">
        <f>COUNTIF(B14:AE14, "L")</f>
        <v/>
      </c>
      <c r="AJ14" s="17">
        <f>COUNTIF(B14:AE14, "WO")</f>
        <v/>
      </c>
      <c r="AK14" s="14">
        <f>COUNTIF(B14:AE14, "HO")</f>
        <v/>
      </c>
      <c r="AL14" s="18">
        <f>COUNTIF(B14:AE14, "CF")</f>
        <v/>
      </c>
      <c r="AM14" s="19">
        <f>AG14+AH14+AI14+AL14</f>
        <v/>
      </c>
      <c r="AN14" s="20">
        <f>IF(AM14&gt;0, AG14/AM14, 0)</f>
        <v/>
      </c>
    </row>
    <row r="15" ht="32" customHeight="1">
      <c r="A15" s="35" t="inlineStr">
        <is>
          <t>RAVALI
Employee</t>
        </is>
      </c>
      <c r="B15" s="36" t="inlineStr">
        <is>
          <t>P</t>
        </is>
      </c>
      <c r="C15" s="37" t="inlineStr">
        <is>
          <t>WO</t>
        </is>
      </c>
      <c r="D15" s="36" t="inlineStr">
        <is>
          <t>P</t>
        </is>
      </c>
      <c r="E15" s="36" t="inlineStr">
        <is>
          <t>P</t>
        </is>
      </c>
      <c r="F15" s="41" t="inlineStr">
        <is>
          <t>CL</t>
        </is>
      </c>
      <c r="G15" s="36" t="inlineStr">
        <is>
          <t>P</t>
        </is>
      </c>
      <c r="H15" s="36" t="inlineStr">
        <is>
          <t>P</t>
        </is>
      </c>
      <c r="I15" s="36" t="inlineStr">
        <is>
          <t>P</t>
        </is>
      </c>
      <c r="J15" s="37" t="inlineStr">
        <is>
          <t>WO</t>
        </is>
      </c>
      <c r="K15" s="36" t="inlineStr">
        <is>
          <t>P</t>
        </is>
      </c>
      <c r="L15" s="36" t="inlineStr">
        <is>
          <t>P</t>
        </is>
      </c>
      <c r="M15" s="36" t="inlineStr">
        <is>
          <t>P</t>
        </is>
      </c>
      <c r="N15" s="36" t="inlineStr">
        <is>
          <t>P</t>
        </is>
      </c>
      <c r="O15" s="36" t="inlineStr">
        <is>
          <t>P</t>
        </is>
      </c>
      <c r="P15" s="36" t="inlineStr">
        <is>
          <t>P</t>
        </is>
      </c>
      <c r="Q15" s="37" t="inlineStr">
        <is>
          <t>WO</t>
        </is>
      </c>
      <c r="R15" s="36" t="inlineStr">
        <is>
          <t>P</t>
        </is>
      </c>
      <c r="S15" s="36" t="inlineStr">
        <is>
          <t>P</t>
        </is>
      </c>
      <c r="T15" s="36" t="inlineStr">
        <is>
          <t>P</t>
        </is>
      </c>
      <c r="U15" s="36" t="inlineStr">
        <is>
          <t>P</t>
        </is>
      </c>
      <c r="V15" s="36" t="inlineStr">
        <is>
          <t>P</t>
        </is>
      </c>
      <c r="W15" s="36" t="inlineStr">
        <is>
          <t>P</t>
        </is>
      </c>
      <c r="X15" s="37" t="inlineStr">
        <is>
          <t>WO</t>
        </is>
      </c>
      <c r="Y15" s="36" t="inlineStr">
        <is>
          <t>P</t>
        </is>
      </c>
      <c r="Z15" s="42" t="inlineStr">
        <is>
          <t>L</t>
        </is>
      </c>
      <c r="AA15" s="36" t="inlineStr">
        <is>
          <t>P</t>
        </is>
      </c>
      <c r="AB15" s="36" t="inlineStr">
        <is>
          <t>P</t>
        </is>
      </c>
      <c r="AC15" s="36" t="inlineStr">
        <is>
          <t>P</t>
        </is>
      </c>
      <c r="AD15" s="38" t="inlineStr">
        <is>
          <t>-</t>
        </is>
      </c>
      <c r="AE15" s="37" t="inlineStr">
        <is>
          <t>WO</t>
        </is>
      </c>
      <c r="AF15" s="48" t="inlineStr">
        <is>
          <t>-</t>
        </is>
      </c>
      <c r="AG15" s="39">
        <f>COUNTIF(B15:AE15, "P")</f>
        <v/>
      </c>
      <c r="AH15" s="15">
        <f>COUNTIF(B15:AE15, "CL")</f>
        <v/>
      </c>
      <c r="AI15" s="16">
        <f>COUNTIF(B15:AE15, "L")</f>
        <v/>
      </c>
      <c r="AJ15" s="17">
        <f>COUNTIF(B15:AE15, "WO")</f>
        <v/>
      </c>
      <c r="AK15" s="14">
        <f>COUNTIF(B15:AE15, "HO")</f>
        <v/>
      </c>
      <c r="AL15" s="18">
        <f>COUNTIF(B15:AE15, "CF")</f>
        <v/>
      </c>
      <c r="AM15" s="19">
        <f>AG15+AH15+AI15+AL15</f>
        <v/>
      </c>
      <c r="AN15" s="20">
        <f>IF(AM15&gt;0, AG15/AM15, 0)</f>
        <v/>
      </c>
    </row>
    <row r="16" ht="32" customHeight="1">
      <c r="A16" s="40" t="inlineStr">
        <is>
          <t>SIRISHA
Employee</t>
        </is>
      </c>
      <c r="B16" s="36" t="inlineStr">
        <is>
          <t>P</t>
        </is>
      </c>
      <c r="C16" s="37" t="inlineStr">
        <is>
          <t>WO</t>
        </is>
      </c>
      <c r="D16" s="36" t="inlineStr">
        <is>
          <t>P</t>
        </is>
      </c>
      <c r="E16" s="36" t="inlineStr">
        <is>
          <t>P</t>
        </is>
      </c>
      <c r="F16" s="36" t="inlineStr">
        <is>
          <t>P</t>
        </is>
      </c>
      <c r="G16" s="36" t="inlineStr">
        <is>
          <t>P</t>
        </is>
      </c>
      <c r="H16" s="36" t="inlineStr">
        <is>
          <t>P</t>
        </is>
      </c>
      <c r="I16" s="36" t="inlineStr">
        <is>
          <t>P</t>
        </is>
      </c>
      <c r="J16" s="37" t="inlineStr">
        <is>
          <t>WO</t>
        </is>
      </c>
      <c r="K16" s="36" t="inlineStr">
        <is>
          <t>P</t>
        </is>
      </c>
      <c r="L16" s="36" t="inlineStr">
        <is>
          <t>P</t>
        </is>
      </c>
      <c r="M16" s="36" t="inlineStr">
        <is>
          <t>P</t>
        </is>
      </c>
      <c r="N16" s="41" t="inlineStr">
        <is>
          <t>CL</t>
        </is>
      </c>
      <c r="O16" s="36" t="inlineStr">
        <is>
          <t>P</t>
        </is>
      </c>
      <c r="P16" s="36" t="inlineStr">
        <is>
          <t>P</t>
        </is>
      </c>
      <c r="Q16" s="37" t="inlineStr">
        <is>
          <t>WO</t>
        </is>
      </c>
      <c r="R16" s="36" t="inlineStr">
        <is>
          <t>P</t>
        </is>
      </c>
      <c r="S16" s="36" t="inlineStr">
        <is>
          <t>P</t>
        </is>
      </c>
      <c r="T16" s="36" t="inlineStr">
        <is>
          <t>P</t>
        </is>
      </c>
      <c r="U16" s="36" t="inlineStr">
        <is>
          <t>P</t>
        </is>
      </c>
      <c r="V16" s="36" t="inlineStr">
        <is>
          <t>P</t>
        </is>
      </c>
      <c r="W16" s="36" t="inlineStr">
        <is>
          <t>P</t>
        </is>
      </c>
      <c r="X16" s="37" t="inlineStr">
        <is>
          <t>WO</t>
        </is>
      </c>
      <c r="Y16" s="36" t="inlineStr">
        <is>
          <t>P</t>
        </is>
      </c>
      <c r="Z16" s="36" t="inlineStr">
        <is>
          <t>P</t>
        </is>
      </c>
      <c r="AA16" s="36" t="inlineStr">
        <is>
          <t>P</t>
        </is>
      </c>
      <c r="AB16" s="42" t="inlineStr">
        <is>
          <t>L</t>
        </is>
      </c>
      <c r="AC16" s="36" t="inlineStr">
        <is>
          <t>P</t>
        </is>
      </c>
      <c r="AD16" s="38" t="inlineStr">
        <is>
          <t>-</t>
        </is>
      </c>
      <c r="AE16" s="37" t="inlineStr">
        <is>
          <t>WO</t>
        </is>
      </c>
      <c r="AF16" s="48" t="inlineStr">
        <is>
          <t>-</t>
        </is>
      </c>
      <c r="AG16" s="39">
        <f>COUNTIF(B16:AE16, "P")</f>
        <v/>
      </c>
      <c r="AH16" s="15">
        <f>COUNTIF(B16:AE16, "CL")</f>
        <v/>
      </c>
      <c r="AI16" s="16">
        <f>COUNTIF(B16:AE16, "L")</f>
        <v/>
      </c>
      <c r="AJ16" s="17">
        <f>COUNTIF(B16:AE16, "WO")</f>
        <v/>
      </c>
      <c r="AK16" s="14">
        <f>COUNTIF(B16:AE16, "HO")</f>
        <v/>
      </c>
      <c r="AL16" s="18">
        <f>COUNTIF(B16:AE16, "CF")</f>
        <v/>
      </c>
      <c r="AM16" s="19">
        <f>AG16+AH16+AI16+AL16</f>
        <v/>
      </c>
      <c r="AN16" s="20">
        <f>IF(AM16&gt;0, AG16/AM16, 0)</f>
        <v/>
      </c>
    </row>
    <row r="17" ht="32" customHeight="1">
      <c r="A17" s="35" t="inlineStr">
        <is>
          <t>LAXMINARAYANA
Employee</t>
        </is>
      </c>
      <c r="B17" s="36" t="inlineStr">
        <is>
          <t>P</t>
        </is>
      </c>
      <c r="C17" s="37" t="inlineStr">
        <is>
          <t>WO</t>
        </is>
      </c>
      <c r="D17" s="36" t="inlineStr">
        <is>
          <t>P</t>
        </is>
      </c>
      <c r="E17" s="36" t="inlineStr">
        <is>
          <t>P</t>
        </is>
      </c>
      <c r="F17" s="36" t="inlineStr">
        <is>
          <t>P</t>
        </is>
      </c>
      <c r="G17" s="36" t="inlineStr">
        <is>
          <t>P</t>
        </is>
      </c>
      <c r="H17" s="41" t="inlineStr">
        <is>
          <t>CL</t>
        </is>
      </c>
      <c r="I17" s="36" t="inlineStr">
        <is>
          <t>P</t>
        </is>
      </c>
      <c r="J17" s="37" t="inlineStr">
        <is>
          <t>WO</t>
        </is>
      </c>
      <c r="K17" s="36" t="inlineStr">
        <is>
          <t>P</t>
        </is>
      </c>
      <c r="L17" s="36" t="inlineStr">
        <is>
          <t>P</t>
        </is>
      </c>
      <c r="M17" s="36" t="inlineStr">
        <is>
          <t>P</t>
        </is>
      </c>
      <c r="N17" s="36" t="inlineStr">
        <is>
          <t>P</t>
        </is>
      </c>
      <c r="O17" s="36" t="inlineStr">
        <is>
          <t>P</t>
        </is>
      </c>
      <c r="P17" s="36" t="inlineStr">
        <is>
          <t>P</t>
        </is>
      </c>
      <c r="Q17" s="37" t="inlineStr">
        <is>
          <t>WO</t>
        </is>
      </c>
      <c r="R17" s="36" t="inlineStr">
        <is>
          <t>P</t>
        </is>
      </c>
      <c r="S17" s="36" t="inlineStr">
        <is>
          <t>P</t>
        </is>
      </c>
      <c r="T17" s="36" t="inlineStr">
        <is>
          <t>P</t>
        </is>
      </c>
      <c r="U17" s="36" t="inlineStr">
        <is>
          <t>P</t>
        </is>
      </c>
      <c r="V17" s="36" t="inlineStr">
        <is>
          <t>P</t>
        </is>
      </c>
      <c r="W17" s="36" t="inlineStr">
        <is>
          <t>P</t>
        </is>
      </c>
      <c r="X17" s="37" t="inlineStr">
        <is>
          <t>WO</t>
        </is>
      </c>
      <c r="Y17" s="42" t="inlineStr">
        <is>
          <t>L</t>
        </is>
      </c>
      <c r="Z17" s="36" t="inlineStr">
        <is>
          <t>P</t>
        </is>
      </c>
      <c r="AA17" s="42" t="inlineStr">
        <is>
          <t>L</t>
        </is>
      </c>
      <c r="AB17" s="36" t="inlineStr">
        <is>
          <t>P</t>
        </is>
      </c>
      <c r="AC17" s="36" t="inlineStr">
        <is>
          <t>P</t>
        </is>
      </c>
      <c r="AD17" s="38" t="inlineStr">
        <is>
          <t>-</t>
        </is>
      </c>
      <c r="AE17" s="37" t="inlineStr">
        <is>
          <t>WO</t>
        </is>
      </c>
      <c r="AF17" s="48" t="inlineStr">
        <is>
          <t>-</t>
        </is>
      </c>
      <c r="AG17" s="39">
        <f>COUNTIF(B17:AE17, "P")</f>
        <v/>
      </c>
      <c r="AH17" s="15">
        <f>COUNTIF(B17:AE17, "CL")</f>
        <v/>
      </c>
      <c r="AI17" s="16">
        <f>COUNTIF(B17:AE17, "L")</f>
        <v/>
      </c>
      <c r="AJ17" s="17">
        <f>COUNTIF(B17:AE17, "WO")</f>
        <v/>
      </c>
      <c r="AK17" s="14">
        <f>COUNTIF(B17:AE17, "HO")</f>
        <v/>
      </c>
      <c r="AL17" s="18">
        <f>COUNTIF(B17:AE17, "CF")</f>
        <v/>
      </c>
      <c r="AM17" s="19">
        <f>AG17+AH17+AI17+AL17</f>
        <v/>
      </c>
      <c r="AN17" s="20">
        <f>IF(AM17&gt;0, AG17/AM17, 0)</f>
        <v/>
      </c>
    </row>
    <row r="18" ht="32" customHeight="1">
      <c r="A18" s="40" t="inlineStr">
        <is>
          <t>VANI
Employee</t>
        </is>
      </c>
      <c r="B18" s="36" t="inlineStr">
        <is>
          <t>P</t>
        </is>
      </c>
      <c r="C18" s="37" t="inlineStr">
        <is>
          <t>WO</t>
        </is>
      </c>
      <c r="D18" s="36" t="inlineStr">
        <is>
          <t>P</t>
        </is>
      </c>
      <c r="E18" s="36" t="inlineStr">
        <is>
          <t>P</t>
        </is>
      </c>
      <c r="F18" s="36" t="inlineStr">
        <is>
          <t>P</t>
        </is>
      </c>
      <c r="G18" s="41" t="inlineStr">
        <is>
          <t>CL</t>
        </is>
      </c>
      <c r="H18" s="36" t="inlineStr">
        <is>
          <t>P</t>
        </is>
      </c>
      <c r="I18" s="36" t="inlineStr">
        <is>
          <t>P</t>
        </is>
      </c>
      <c r="J18" s="37" t="inlineStr">
        <is>
          <t>WO</t>
        </is>
      </c>
      <c r="K18" s="36" t="inlineStr">
        <is>
          <t>P</t>
        </is>
      </c>
      <c r="L18" s="36" t="inlineStr">
        <is>
          <t>P</t>
        </is>
      </c>
      <c r="M18" s="36" t="inlineStr">
        <is>
          <t>P</t>
        </is>
      </c>
      <c r="N18" s="36" t="inlineStr">
        <is>
          <t>P</t>
        </is>
      </c>
      <c r="O18" s="36" t="inlineStr">
        <is>
          <t>P</t>
        </is>
      </c>
      <c r="P18" s="42" t="inlineStr">
        <is>
          <t>L</t>
        </is>
      </c>
      <c r="Q18" s="37" t="inlineStr">
        <is>
          <t>WO</t>
        </is>
      </c>
      <c r="R18" s="42" t="inlineStr">
        <is>
          <t>L</t>
        </is>
      </c>
      <c r="S18" s="36" t="inlineStr">
        <is>
          <t>P</t>
        </is>
      </c>
      <c r="T18" s="36" t="inlineStr">
        <is>
          <t>P</t>
        </is>
      </c>
      <c r="U18" s="43" t="inlineStr">
        <is>
          <t>CF</t>
        </is>
      </c>
      <c r="V18" s="36" t="inlineStr">
        <is>
          <t>P</t>
        </is>
      </c>
      <c r="W18" s="36" t="inlineStr">
        <is>
          <t>P</t>
        </is>
      </c>
      <c r="X18" s="36" t="inlineStr">
        <is>
          <t>P</t>
        </is>
      </c>
      <c r="Y18" s="36" t="inlineStr">
        <is>
          <t>P</t>
        </is>
      </c>
      <c r="Z18" s="36" t="inlineStr">
        <is>
          <t>P</t>
        </is>
      </c>
      <c r="AA18" s="36" t="inlineStr">
        <is>
          <t>P</t>
        </is>
      </c>
      <c r="AB18" s="36" t="inlineStr">
        <is>
          <t>P</t>
        </is>
      </c>
      <c r="AC18" s="36" t="inlineStr">
        <is>
          <t>P</t>
        </is>
      </c>
      <c r="AD18" s="38" t="inlineStr">
        <is>
          <t>-</t>
        </is>
      </c>
      <c r="AE18" s="37" t="inlineStr">
        <is>
          <t>WO</t>
        </is>
      </c>
      <c r="AF18" s="48" t="inlineStr">
        <is>
          <t>-</t>
        </is>
      </c>
      <c r="AG18" s="39">
        <f>COUNTIF(B18:AE18, "P")</f>
        <v/>
      </c>
      <c r="AH18" s="15">
        <f>COUNTIF(B18:AE18, "CL")</f>
        <v/>
      </c>
      <c r="AI18" s="16">
        <f>COUNTIF(B18:AE18, "L")</f>
        <v/>
      </c>
      <c r="AJ18" s="17">
        <f>COUNTIF(B18:AE18, "WO")</f>
        <v/>
      </c>
      <c r="AK18" s="14">
        <f>COUNTIF(B18:AE18, "HO")</f>
        <v/>
      </c>
      <c r="AL18" s="18">
        <f>COUNTIF(B18:AE18, "CF")</f>
        <v/>
      </c>
      <c r="AM18" s="19">
        <f>AG18+AH18+AI18+AL18</f>
        <v/>
      </c>
      <c r="AN18" s="20">
        <f>IF(AM18&gt;0, AG18/AM18, 0)</f>
        <v/>
      </c>
    </row>
    <row r="19" ht="32" customHeight="1">
      <c r="A19" s="35" t="inlineStr">
        <is>
          <t>KAVITHA
Employee</t>
        </is>
      </c>
      <c r="B19" s="36" t="inlineStr">
        <is>
          <t>P</t>
        </is>
      </c>
      <c r="C19" s="37" t="inlineStr">
        <is>
          <t>WO</t>
        </is>
      </c>
      <c r="D19" s="36" t="inlineStr">
        <is>
          <t>P</t>
        </is>
      </c>
      <c r="E19" s="36" t="inlineStr">
        <is>
          <t>P</t>
        </is>
      </c>
      <c r="F19" s="36" t="inlineStr">
        <is>
          <t>P</t>
        </is>
      </c>
      <c r="G19" s="36" t="inlineStr">
        <is>
          <t>P</t>
        </is>
      </c>
      <c r="H19" s="36" t="inlineStr">
        <is>
          <t>P</t>
        </is>
      </c>
      <c r="I19" s="36" t="inlineStr">
        <is>
          <t>P</t>
        </is>
      </c>
      <c r="J19" s="37" t="inlineStr">
        <is>
          <t>WO</t>
        </is>
      </c>
      <c r="K19" s="36" t="inlineStr">
        <is>
          <t>P</t>
        </is>
      </c>
      <c r="L19" s="36" t="inlineStr">
        <is>
          <t>P</t>
        </is>
      </c>
      <c r="M19" s="41" t="inlineStr">
        <is>
          <t>CL</t>
        </is>
      </c>
      <c r="N19" s="42" t="inlineStr">
        <is>
          <t>L</t>
        </is>
      </c>
      <c r="O19" s="42" t="inlineStr">
        <is>
          <t>L</t>
        </is>
      </c>
      <c r="P19" s="42" t="inlineStr">
        <is>
          <t>L</t>
        </is>
      </c>
      <c r="Q19" s="37" t="inlineStr">
        <is>
          <t>WO</t>
        </is>
      </c>
      <c r="R19" s="36" t="inlineStr">
        <is>
          <t>P</t>
        </is>
      </c>
      <c r="S19" s="36" t="inlineStr">
        <is>
          <t>P</t>
        </is>
      </c>
      <c r="T19" s="36" t="inlineStr">
        <is>
          <t>P</t>
        </is>
      </c>
      <c r="U19" s="36" t="inlineStr">
        <is>
          <t>P</t>
        </is>
      </c>
      <c r="V19" s="36" t="inlineStr">
        <is>
          <t>P</t>
        </is>
      </c>
      <c r="W19" s="36" t="inlineStr">
        <is>
          <t>P</t>
        </is>
      </c>
      <c r="X19" s="37" t="inlineStr">
        <is>
          <t>WO</t>
        </is>
      </c>
      <c r="Y19" s="36" t="inlineStr">
        <is>
          <t>P</t>
        </is>
      </c>
      <c r="Z19" s="36" t="inlineStr">
        <is>
          <t>P</t>
        </is>
      </c>
      <c r="AA19" s="36" t="inlineStr">
        <is>
          <t>P</t>
        </is>
      </c>
      <c r="AB19" s="36" t="inlineStr">
        <is>
          <t>P</t>
        </is>
      </c>
      <c r="AC19" s="36" t="inlineStr">
        <is>
          <t>P</t>
        </is>
      </c>
      <c r="AD19" s="38" t="inlineStr">
        <is>
          <t>-</t>
        </is>
      </c>
      <c r="AE19" s="37" t="inlineStr">
        <is>
          <t>WO</t>
        </is>
      </c>
      <c r="AF19" s="48" t="inlineStr">
        <is>
          <t>-</t>
        </is>
      </c>
      <c r="AG19" s="39">
        <f>COUNTIF(B19:AE19, "P")</f>
        <v/>
      </c>
      <c r="AH19" s="15">
        <f>COUNTIF(B19:AE19, "CL")</f>
        <v/>
      </c>
      <c r="AI19" s="16">
        <f>COUNTIF(B19:AE19, "L")</f>
        <v/>
      </c>
      <c r="AJ19" s="17">
        <f>COUNTIF(B19:AE19, "WO")</f>
        <v/>
      </c>
      <c r="AK19" s="14">
        <f>COUNTIF(B19:AE19, "HO")</f>
        <v/>
      </c>
      <c r="AL19" s="18">
        <f>COUNTIF(B19:AE19, "CF")</f>
        <v/>
      </c>
      <c r="AM19" s="19">
        <f>AG19+AH19+AI19+AL19</f>
        <v/>
      </c>
      <c r="AN19" s="20">
        <f>IF(AM19&gt;0, AG19/AM19, 0)</f>
        <v/>
      </c>
    </row>
    <row r="20" ht="32" customHeight="1">
      <c r="A20" s="40" t="inlineStr">
        <is>
          <t>PRAVEEN KUMAR
Employee</t>
        </is>
      </c>
      <c r="B20" s="36" t="inlineStr">
        <is>
          <t>P</t>
        </is>
      </c>
      <c r="C20" s="37" t="inlineStr">
        <is>
          <t>WO</t>
        </is>
      </c>
      <c r="D20" s="36" t="inlineStr">
        <is>
          <t>P</t>
        </is>
      </c>
      <c r="E20" s="36" t="inlineStr">
        <is>
          <t>P</t>
        </is>
      </c>
      <c r="F20" s="36" t="inlineStr">
        <is>
          <t>P</t>
        </is>
      </c>
      <c r="G20" s="41" t="inlineStr">
        <is>
          <t>CL</t>
        </is>
      </c>
      <c r="H20" s="36" t="inlineStr">
        <is>
          <t>P</t>
        </is>
      </c>
      <c r="I20" s="36" t="inlineStr">
        <is>
          <t>P</t>
        </is>
      </c>
      <c r="J20" s="37" t="inlineStr">
        <is>
          <t>WO</t>
        </is>
      </c>
      <c r="K20" s="36" t="inlineStr">
        <is>
          <t>P</t>
        </is>
      </c>
      <c r="L20" s="36" t="inlineStr">
        <is>
          <t>P</t>
        </is>
      </c>
      <c r="M20" s="42" t="inlineStr">
        <is>
          <t>L</t>
        </is>
      </c>
      <c r="N20" s="42" t="inlineStr">
        <is>
          <t>L</t>
        </is>
      </c>
      <c r="O20" s="36" t="inlineStr">
        <is>
          <t>P</t>
        </is>
      </c>
      <c r="P20" s="36" t="inlineStr">
        <is>
          <t>P</t>
        </is>
      </c>
      <c r="Q20" s="37" t="inlineStr">
        <is>
          <t>WO</t>
        </is>
      </c>
      <c r="R20" s="36" t="inlineStr">
        <is>
          <t>P</t>
        </is>
      </c>
      <c r="S20" s="36" t="inlineStr">
        <is>
          <t>P</t>
        </is>
      </c>
      <c r="T20" s="42" t="inlineStr">
        <is>
          <t>L</t>
        </is>
      </c>
      <c r="U20" s="36" t="inlineStr">
        <is>
          <t>P</t>
        </is>
      </c>
      <c r="V20" s="36" t="inlineStr">
        <is>
          <t>P</t>
        </is>
      </c>
      <c r="W20" s="36" t="inlineStr">
        <is>
          <t>P</t>
        </is>
      </c>
      <c r="X20" s="37" t="inlineStr">
        <is>
          <t>WO</t>
        </is>
      </c>
      <c r="Y20" s="36" t="inlineStr">
        <is>
          <t>P</t>
        </is>
      </c>
      <c r="Z20" s="36" t="inlineStr">
        <is>
          <t>P</t>
        </is>
      </c>
      <c r="AA20" s="36" t="inlineStr">
        <is>
          <t>P</t>
        </is>
      </c>
      <c r="AB20" s="36" t="inlineStr">
        <is>
          <t>P</t>
        </is>
      </c>
      <c r="AC20" s="36" t="inlineStr">
        <is>
          <t>P</t>
        </is>
      </c>
      <c r="AD20" s="38" t="inlineStr">
        <is>
          <t>-</t>
        </is>
      </c>
      <c r="AE20" s="37" t="inlineStr">
        <is>
          <t>WO</t>
        </is>
      </c>
      <c r="AF20" s="48" t="inlineStr">
        <is>
          <t>-</t>
        </is>
      </c>
      <c r="AG20" s="39">
        <f>COUNTIF(B20:AE20, "P")</f>
        <v/>
      </c>
      <c r="AH20" s="15">
        <f>COUNTIF(B20:AE20, "CL")</f>
        <v/>
      </c>
      <c r="AI20" s="16">
        <f>COUNTIF(B20:AE20, "L")</f>
        <v/>
      </c>
      <c r="AJ20" s="17">
        <f>COUNTIF(B20:AE20, "WO")</f>
        <v/>
      </c>
      <c r="AK20" s="14">
        <f>COUNTIF(B20:AE20, "HO")</f>
        <v/>
      </c>
      <c r="AL20" s="18">
        <f>COUNTIF(B20:AE20, "CF")</f>
        <v/>
      </c>
      <c r="AM20" s="19">
        <f>AG20+AH20+AI20+AL20</f>
        <v/>
      </c>
      <c r="AN20" s="20">
        <f>IF(AM20&gt;0, AG20/AM20, 0)</f>
        <v/>
      </c>
    </row>
    <row r="21" ht="32" customHeight="1">
      <c r="A21" s="35" t="inlineStr">
        <is>
          <t>SAI CHARAN
Employee</t>
        </is>
      </c>
      <c r="B21" s="36" t="inlineStr">
        <is>
          <t>P</t>
        </is>
      </c>
      <c r="C21" s="37" t="inlineStr">
        <is>
          <t>WO</t>
        </is>
      </c>
      <c r="D21" s="36" t="inlineStr">
        <is>
          <t>P</t>
        </is>
      </c>
      <c r="E21" s="36" t="inlineStr">
        <is>
          <t>P</t>
        </is>
      </c>
      <c r="F21" s="36" t="inlineStr">
        <is>
          <t>P</t>
        </is>
      </c>
      <c r="G21" s="41" t="inlineStr">
        <is>
          <t>CL</t>
        </is>
      </c>
      <c r="H21" s="42" t="inlineStr">
        <is>
          <t>L</t>
        </is>
      </c>
      <c r="I21" s="42" t="inlineStr">
        <is>
          <t>L</t>
        </is>
      </c>
      <c r="J21" s="37" t="inlineStr">
        <is>
          <t>WO</t>
        </is>
      </c>
      <c r="K21" s="42" t="inlineStr">
        <is>
          <t>L</t>
        </is>
      </c>
      <c r="L21" s="36" t="inlineStr">
        <is>
          <t>P</t>
        </is>
      </c>
      <c r="M21" s="36" t="inlineStr">
        <is>
          <t>P</t>
        </is>
      </c>
      <c r="N21" s="36" t="inlineStr">
        <is>
          <t>P</t>
        </is>
      </c>
      <c r="O21" s="36" t="inlineStr">
        <is>
          <t>P</t>
        </is>
      </c>
      <c r="P21" s="36" t="inlineStr">
        <is>
          <t>P</t>
        </is>
      </c>
      <c r="Q21" s="37" t="inlineStr">
        <is>
          <t>WO</t>
        </is>
      </c>
      <c r="R21" s="36" t="inlineStr">
        <is>
          <t>P</t>
        </is>
      </c>
      <c r="S21" s="36" t="inlineStr">
        <is>
          <t>P</t>
        </is>
      </c>
      <c r="T21" s="36" t="inlineStr">
        <is>
          <t>P</t>
        </is>
      </c>
      <c r="U21" s="36" t="inlineStr">
        <is>
          <t>P</t>
        </is>
      </c>
      <c r="V21" s="36" t="inlineStr">
        <is>
          <t>P</t>
        </is>
      </c>
      <c r="W21" s="36" t="inlineStr">
        <is>
          <t>P</t>
        </is>
      </c>
      <c r="X21" s="37" t="inlineStr">
        <is>
          <t>WO</t>
        </is>
      </c>
      <c r="Y21" s="36" t="inlineStr">
        <is>
          <t>P</t>
        </is>
      </c>
      <c r="Z21" s="36" t="inlineStr">
        <is>
          <t>P</t>
        </is>
      </c>
      <c r="AA21" s="36" t="inlineStr">
        <is>
          <t>P</t>
        </is>
      </c>
      <c r="AB21" s="36" t="inlineStr">
        <is>
          <t>P</t>
        </is>
      </c>
      <c r="AC21" s="36" t="inlineStr">
        <is>
          <t>P</t>
        </is>
      </c>
      <c r="AD21" s="38" t="inlineStr">
        <is>
          <t>-</t>
        </is>
      </c>
      <c r="AE21" s="37" t="inlineStr">
        <is>
          <t>WO</t>
        </is>
      </c>
      <c r="AF21" s="48" t="inlineStr">
        <is>
          <t>-</t>
        </is>
      </c>
      <c r="AG21" s="39">
        <f>COUNTIF(B21:AE21, "P")</f>
        <v/>
      </c>
      <c r="AH21" s="15">
        <f>COUNTIF(B21:AE21, "CL")</f>
        <v/>
      </c>
      <c r="AI21" s="16">
        <f>COUNTIF(B21:AE21, "L")</f>
        <v/>
      </c>
      <c r="AJ21" s="17">
        <f>COUNTIF(B21:AE21, "WO")</f>
        <v/>
      </c>
      <c r="AK21" s="14">
        <f>COUNTIF(B21:AE21, "HO")</f>
        <v/>
      </c>
      <c r="AL21" s="18">
        <f>COUNTIF(B21:AE21, "CF")</f>
        <v/>
      </c>
      <c r="AM21" s="19">
        <f>AG21+AH21+AI21+AL21</f>
        <v/>
      </c>
      <c r="AN21" s="20">
        <f>IF(AM21&gt;0, AG21/AM21, 0)</f>
        <v/>
      </c>
    </row>
    <row r="22" ht="32" customHeight="1">
      <c r="A22" s="40" t="inlineStr">
        <is>
          <t>PHANI
Employee</t>
        </is>
      </c>
      <c r="B22" s="43" t="inlineStr">
        <is>
          <t>CF</t>
        </is>
      </c>
      <c r="C22" s="36" t="inlineStr">
        <is>
          <t>P</t>
        </is>
      </c>
      <c r="D22" s="43" t="inlineStr">
        <is>
          <t>CF</t>
        </is>
      </c>
      <c r="E22" s="36" t="inlineStr">
        <is>
          <t>P</t>
        </is>
      </c>
      <c r="F22" s="37" t="inlineStr">
        <is>
          <t>WO</t>
        </is>
      </c>
      <c r="G22" s="36" t="inlineStr">
        <is>
          <t>P</t>
        </is>
      </c>
      <c r="H22" s="36" t="inlineStr">
        <is>
          <t>P</t>
        </is>
      </c>
      <c r="I22" s="36" t="inlineStr">
        <is>
          <t>P</t>
        </is>
      </c>
      <c r="J22" s="36" t="inlineStr">
        <is>
          <t>P</t>
        </is>
      </c>
      <c r="K22" s="36" t="inlineStr">
        <is>
          <t>P</t>
        </is>
      </c>
      <c r="L22" s="36" t="inlineStr">
        <is>
          <t>P</t>
        </is>
      </c>
      <c r="M22" s="36" t="inlineStr">
        <is>
          <t>P</t>
        </is>
      </c>
      <c r="N22" s="37" t="inlineStr">
        <is>
          <t>WO</t>
        </is>
      </c>
      <c r="O22" s="41" t="inlineStr">
        <is>
          <t>CL</t>
        </is>
      </c>
      <c r="P22" s="42" t="inlineStr">
        <is>
          <t>L</t>
        </is>
      </c>
      <c r="Q22" s="42" t="inlineStr">
        <is>
          <t>L</t>
        </is>
      </c>
      <c r="R22" s="36" t="inlineStr">
        <is>
          <t>P</t>
        </is>
      </c>
      <c r="S22" s="36" t="inlineStr">
        <is>
          <t>P</t>
        </is>
      </c>
      <c r="T22" s="36" t="inlineStr">
        <is>
          <t>P</t>
        </is>
      </c>
      <c r="U22" s="36" t="inlineStr">
        <is>
          <t>P</t>
        </is>
      </c>
      <c r="V22" s="36" t="inlineStr">
        <is>
          <t>P</t>
        </is>
      </c>
      <c r="W22" s="36" t="inlineStr">
        <is>
          <t>P</t>
        </is>
      </c>
      <c r="X22" s="36" t="inlineStr">
        <is>
          <t>P</t>
        </is>
      </c>
      <c r="Y22" s="36" t="inlineStr">
        <is>
          <t>P</t>
        </is>
      </c>
      <c r="Z22" s="36" t="inlineStr">
        <is>
          <t>P</t>
        </is>
      </c>
      <c r="AA22" s="36" t="inlineStr">
        <is>
          <t>P</t>
        </is>
      </c>
      <c r="AB22" s="42" t="inlineStr">
        <is>
          <t>L</t>
        </is>
      </c>
      <c r="AC22" s="36" t="inlineStr">
        <is>
          <t>P</t>
        </is>
      </c>
      <c r="AD22" s="38" t="inlineStr">
        <is>
          <t>-</t>
        </is>
      </c>
      <c r="AE22" s="38" t="inlineStr">
        <is>
          <t>-</t>
        </is>
      </c>
      <c r="AF22" s="48" t="inlineStr">
        <is>
          <t>-</t>
        </is>
      </c>
      <c r="AG22" s="39">
        <f>COUNTIF(B22:AE22, "P")</f>
        <v/>
      </c>
      <c r="AH22" s="15">
        <f>COUNTIF(B22:AE22, "CL")</f>
        <v/>
      </c>
      <c r="AI22" s="16">
        <f>COUNTIF(B22:AE22, "L")</f>
        <v/>
      </c>
      <c r="AJ22" s="17">
        <f>COUNTIF(B22:AE22, "WO")</f>
        <v/>
      </c>
      <c r="AK22" s="14">
        <f>COUNTIF(B22:AE22, "HO")</f>
        <v/>
      </c>
      <c r="AL22" s="18">
        <f>COUNTIF(B22:AE22, "CF")</f>
        <v/>
      </c>
      <c r="AM22" s="19">
        <f>AG22+AH22+AI22+AL22</f>
        <v/>
      </c>
      <c r="AN22" s="20">
        <f>IF(AM22&gt;0, AG22/AM22, 0)</f>
        <v/>
      </c>
    </row>
    <row r="23" ht="32" customHeight="1">
      <c r="A23" s="35" t="inlineStr">
        <is>
          <t>SAI KUMAR
Employee</t>
        </is>
      </c>
      <c r="B23" s="38" t="inlineStr">
        <is>
          <t>-</t>
        </is>
      </c>
      <c r="C23" s="38" t="inlineStr">
        <is>
          <t>-</t>
        </is>
      </c>
      <c r="D23" s="38" t="inlineStr">
        <is>
          <t>-</t>
        </is>
      </c>
      <c r="E23" s="38" t="inlineStr">
        <is>
          <t>-</t>
        </is>
      </c>
      <c r="F23" s="38" t="inlineStr">
        <is>
          <t>-</t>
        </is>
      </c>
      <c r="G23" s="38" t="inlineStr">
        <is>
          <t>-</t>
        </is>
      </c>
      <c r="H23" s="38" t="inlineStr">
        <is>
          <t>-</t>
        </is>
      </c>
      <c r="I23" s="38" t="inlineStr">
        <is>
          <t>-</t>
        </is>
      </c>
      <c r="J23" s="38" t="inlineStr">
        <is>
          <t>-</t>
        </is>
      </c>
      <c r="K23" s="38" t="inlineStr">
        <is>
          <t>-</t>
        </is>
      </c>
      <c r="L23" s="38" t="inlineStr">
        <is>
          <t>-</t>
        </is>
      </c>
      <c r="M23" s="38" t="inlineStr">
        <is>
          <t>-</t>
        </is>
      </c>
      <c r="N23" s="38" t="inlineStr">
        <is>
          <t>-</t>
        </is>
      </c>
      <c r="O23" s="38" t="inlineStr">
        <is>
          <t>-</t>
        </is>
      </c>
      <c r="P23" s="38" t="inlineStr">
        <is>
          <t>-</t>
        </is>
      </c>
      <c r="Q23" s="38" t="inlineStr">
        <is>
          <t>-</t>
        </is>
      </c>
      <c r="R23" s="38" t="inlineStr">
        <is>
          <t>-</t>
        </is>
      </c>
      <c r="S23" s="38" t="inlineStr">
        <is>
          <t>-</t>
        </is>
      </c>
      <c r="T23" s="38" t="inlineStr">
        <is>
          <t>-</t>
        </is>
      </c>
      <c r="U23" s="38" t="inlineStr">
        <is>
          <t>-</t>
        </is>
      </c>
      <c r="V23" s="38" t="inlineStr">
        <is>
          <t>-</t>
        </is>
      </c>
      <c r="W23" s="38" t="inlineStr">
        <is>
          <t>-</t>
        </is>
      </c>
      <c r="X23" s="38" t="inlineStr">
        <is>
          <t>-</t>
        </is>
      </c>
      <c r="Y23" s="38" t="inlineStr">
        <is>
          <t>-</t>
        </is>
      </c>
      <c r="Z23" s="38" t="inlineStr">
        <is>
          <t>-</t>
        </is>
      </c>
      <c r="AA23" s="38" t="inlineStr">
        <is>
          <t>-</t>
        </is>
      </c>
      <c r="AB23" s="38" t="inlineStr">
        <is>
          <t>-</t>
        </is>
      </c>
      <c r="AC23" s="38" t="inlineStr">
        <is>
          <t>-</t>
        </is>
      </c>
      <c r="AD23" s="38" t="inlineStr">
        <is>
          <t>-</t>
        </is>
      </c>
      <c r="AE23" s="38" t="inlineStr">
        <is>
          <t>-</t>
        </is>
      </c>
      <c r="AF23" s="48" t="inlineStr">
        <is>
          <t>-</t>
        </is>
      </c>
      <c r="AG23" s="39">
        <f>COUNTIF(B23:AE23, "P")</f>
        <v/>
      </c>
      <c r="AH23" s="15">
        <f>COUNTIF(B23:AE23, "CL")</f>
        <v/>
      </c>
      <c r="AI23" s="16">
        <f>COUNTIF(B23:AE23, "L")</f>
        <v/>
      </c>
      <c r="AJ23" s="17">
        <f>COUNTIF(B23:AE23, "WO")</f>
        <v/>
      </c>
      <c r="AK23" s="14">
        <f>COUNTIF(B23:AE23, "HO")</f>
        <v/>
      </c>
      <c r="AL23" s="18">
        <f>COUNTIF(B23:AE23, "CF")</f>
        <v/>
      </c>
      <c r="AM23" s="19">
        <f>AG23+AH23+AI23+AL23</f>
        <v/>
      </c>
      <c r="AN23" s="20">
        <f>IF(AM23&gt;0, AG23/AM23, 0)</f>
        <v/>
      </c>
    </row>
    <row r="24" ht="32" customHeight="1">
      <c r="A24" s="40" t="inlineStr">
        <is>
          <t>VAIDEHI
Employee</t>
        </is>
      </c>
      <c r="B24" s="38" t="inlineStr">
        <is>
          <t>-</t>
        </is>
      </c>
      <c r="C24" s="38" t="inlineStr">
        <is>
          <t>-</t>
        </is>
      </c>
      <c r="D24" s="38" t="inlineStr">
        <is>
          <t>-</t>
        </is>
      </c>
      <c r="E24" s="38" t="inlineStr">
        <is>
          <t>-</t>
        </is>
      </c>
      <c r="F24" s="38" t="inlineStr">
        <is>
          <t>-</t>
        </is>
      </c>
      <c r="G24" s="38" t="inlineStr">
        <is>
          <t>-</t>
        </is>
      </c>
      <c r="H24" s="38" t="inlineStr">
        <is>
          <t>-</t>
        </is>
      </c>
      <c r="I24" s="38" t="inlineStr">
        <is>
          <t>-</t>
        </is>
      </c>
      <c r="J24" s="38" t="inlineStr">
        <is>
          <t>-</t>
        </is>
      </c>
      <c r="K24" s="38" t="inlineStr">
        <is>
          <t>-</t>
        </is>
      </c>
      <c r="L24" s="38" t="inlineStr">
        <is>
          <t>-</t>
        </is>
      </c>
      <c r="M24" s="38" t="inlineStr">
        <is>
          <t>-</t>
        </is>
      </c>
      <c r="N24" s="38" t="inlineStr">
        <is>
          <t>-</t>
        </is>
      </c>
      <c r="O24" s="38" t="inlineStr">
        <is>
          <t>-</t>
        </is>
      </c>
      <c r="P24" s="38" t="inlineStr">
        <is>
          <t>-</t>
        </is>
      </c>
      <c r="Q24" s="38" t="inlineStr">
        <is>
          <t>-</t>
        </is>
      </c>
      <c r="R24" s="38" t="inlineStr">
        <is>
          <t>-</t>
        </is>
      </c>
      <c r="S24" s="38" t="inlineStr">
        <is>
          <t>-</t>
        </is>
      </c>
      <c r="T24" s="38" t="inlineStr">
        <is>
          <t>-</t>
        </is>
      </c>
      <c r="U24" s="38" t="inlineStr">
        <is>
          <t>-</t>
        </is>
      </c>
      <c r="V24" s="38" t="inlineStr">
        <is>
          <t>-</t>
        </is>
      </c>
      <c r="W24" s="38" t="inlineStr">
        <is>
          <t>-</t>
        </is>
      </c>
      <c r="X24" s="38" t="inlineStr">
        <is>
          <t>-</t>
        </is>
      </c>
      <c r="Y24" s="38" t="inlineStr">
        <is>
          <t>-</t>
        </is>
      </c>
      <c r="Z24" s="38" t="inlineStr">
        <is>
          <t>-</t>
        </is>
      </c>
      <c r="AA24" s="38" t="inlineStr">
        <is>
          <t>-</t>
        </is>
      </c>
      <c r="AB24" s="38" t="inlineStr">
        <is>
          <t>-</t>
        </is>
      </c>
      <c r="AC24" s="38" t="inlineStr">
        <is>
          <t>-</t>
        </is>
      </c>
      <c r="AD24" s="38" t="inlineStr">
        <is>
          <t>-</t>
        </is>
      </c>
      <c r="AE24" s="38" t="inlineStr">
        <is>
          <t>-</t>
        </is>
      </c>
      <c r="AF24" s="48" t="inlineStr">
        <is>
          <t>-</t>
        </is>
      </c>
      <c r="AG24" s="39">
        <f>COUNTIF(B24:AE24, "P")</f>
        <v/>
      </c>
      <c r="AH24" s="15">
        <f>COUNTIF(B24:AE24, "CL")</f>
        <v/>
      </c>
      <c r="AI24" s="16">
        <f>COUNTIF(B24:AE24, "L")</f>
        <v/>
      </c>
      <c r="AJ24" s="17">
        <f>COUNTIF(B24:AE24, "WO")</f>
        <v/>
      </c>
      <c r="AK24" s="14">
        <f>COUNTIF(B24:AE24, "HO")</f>
        <v/>
      </c>
      <c r="AL24" s="18">
        <f>COUNTIF(B24:AE24, "CF")</f>
        <v/>
      </c>
      <c r="AM24" s="19">
        <f>AG24+AH24+AI24+AL24</f>
        <v/>
      </c>
      <c r="AN24" s="20">
        <f>IF(AM24&gt;0, AG24/AM24, 0)</f>
        <v/>
      </c>
    </row>
    <row r="25" ht="32" customHeight="1">
      <c r="A25" s="35" t="inlineStr">
        <is>
          <t>VAISHNAVI
Employee</t>
        </is>
      </c>
      <c r="B25" s="38" t="inlineStr">
        <is>
          <t>-</t>
        </is>
      </c>
      <c r="C25" s="38" t="inlineStr">
        <is>
          <t>-</t>
        </is>
      </c>
      <c r="D25" s="38" t="inlineStr">
        <is>
          <t>-</t>
        </is>
      </c>
      <c r="E25" s="38" t="inlineStr">
        <is>
          <t>-</t>
        </is>
      </c>
      <c r="F25" s="38" t="inlineStr">
        <is>
          <t>-</t>
        </is>
      </c>
      <c r="G25" s="38" t="inlineStr">
        <is>
          <t>-</t>
        </is>
      </c>
      <c r="H25" s="38" t="inlineStr">
        <is>
          <t>-</t>
        </is>
      </c>
      <c r="I25" s="38" t="inlineStr">
        <is>
          <t>-</t>
        </is>
      </c>
      <c r="J25" s="38" t="inlineStr">
        <is>
          <t>-</t>
        </is>
      </c>
      <c r="K25" s="38" t="inlineStr">
        <is>
          <t>-</t>
        </is>
      </c>
      <c r="L25" s="38" t="inlineStr">
        <is>
          <t>-</t>
        </is>
      </c>
      <c r="M25" s="38" t="inlineStr">
        <is>
          <t>-</t>
        </is>
      </c>
      <c r="N25" s="38" t="inlineStr">
        <is>
          <t>-</t>
        </is>
      </c>
      <c r="O25" s="38" t="inlineStr">
        <is>
          <t>-</t>
        </is>
      </c>
      <c r="P25" s="38" t="inlineStr">
        <is>
          <t>-</t>
        </is>
      </c>
      <c r="Q25" s="38" t="inlineStr">
        <is>
          <t>-</t>
        </is>
      </c>
      <c r="R25" s="38" t="inlineStr">
        <is>
          <t>-</t>
        </is>
      </c>
      <c r="S25" s="38" t="inlineStr">
        <is>
          <t>-</t>
        </is>
      </c>
      <c r="T25" s="38" t="inlineStr">
        <is>
          <t>-</t>
        </is>
      </c>
      <c r="U25" s="38" t="inlineStr">
        <is>
          <t>-</t>
        </is>
      </c>
      <c r="V25" s="38" t="inlineStr">
        <is>
          <t>-</t>
        </is>
      </c>
      <c r="W25" s="38" t="inlineStr">
        <is>
          <t>-</t>
        </is>
      </c>
      <c r="X25" s="38" t="inlineStr">
        <is>
          <t>-</t>
        </is>
      </c>
      <c r="Y25" s="38" t="inlineStr">
        <is>
          <t>-</t>
        </is>
      </c>
      <c r="Z25" s="38" t="inlineStr">
        <is>
          <t>-</t>
        </is>
      </c>
      <c r="AA25" s="38" t="inlineStr">
        <is>
          <t>-</t>
        </is>
      </c>
      <c r="AB25" s="38" t="inlineStr">
        <is>
          <t>-</t>
        </is>
      </c>
      <c r="AC25" s="38" t="inlineStr">
        <is>
          <t>-</t>
        </is>
      </c>
      <c r="AD25" s="38" t="inlineStr">
        <is>
          <t>-</t>
        </is>
      </c>
      <c r="AE25" s="38" t="inlineStr">
        <is>
          <t>-</t>
        </is>
      </c>
      <c r="AF25" s="48" t="inlineStr">
        <is>
          <t>-</t>
        </is>
      </c>
      <c r="AG25" s="39">
        <f>COUNTIF(B25:AE25, "P")</f>
        <v/>
      </c>
      <c r="AH25" s="15">
        <f>COUNTIF(B25:AE25, "CL")</f>
        <v/>
      </c>
      <c r="AI25" s="16">
        <f>COUNTIF(B25:AE25, "L")</f>
        <v/>
      </c>
      <c r="AJ25" s="17">
        <f>COUNTIF(B25:AE25, "WO")</f>
        <v/>
      </c>
      <c r="AK25" s="14">
        <f>COUNTIF(B25:AE25, "HO")</f>
        <v/>
      </c>
      <c r="AL25" s="18">
        <f>COUNTIF(B25:AE25, "CF")</f>
        <v/>
      </c>
      <c r="AM25" s="19">
        <f>AG25+AH25+AI25+AL25</f>
        <v/>
      </c>
      <c r="AN25" s="20">
        <f>IF(AM25&gt;0, AG25/AM25, 0)</f>
        <v/>
      </c>
    </row>
    <row r="26" ht="32" customHeight="1">
      <c r="A26" s="40" t="inlineStr">
        <is>
          <t>VITTAL
Employee</t>
        </is>
      </c>
      <c r="B26" s="38" t="inlineStr">
        <is>
          <t>-</t>
        </is>
      </c>
      <c r="C26" s="38" t="inlineStr">
        <is>
          <t>-</t>
        </is>
      </c>
      <c r="D26" s="38" t="inlineStr">
        <is>
          <t>-</t>
        </is>
      </c>
      <c r="E26" s="38" t="inlineStr">
        <is>
          <t>-</t>
        </is>
      </c>
      <c r="F26" s="38" t="inlineStr">
        <is>
          <t>-</t>
        </is>
      </c>
      <c r="G26" s="38" t="inlineStr">
        <is>
          <t>-</t>
        </is>
      </c>
      <c r="H26" s="38" t="inlineStr">
        <is>
          <t>-</t>
        </is>
      </c>
      <c r="I26" s="38" t="inlineStr">
        <is>
          <t>-</t>
        </is>
      </c>
      <c r="J26" s="38" t="inlineStr">
        <is>
          <t>-</t>
        </is>
      </c>
      <c r="K26" s="38" t="inlineStr">
        <is>
          <t>-</t>
        </is>
      </c>
      <c r="L26" s="38" t="inlineStr">
        <is>
          <t>-</t>
        </is>
      </c>
      <c r="M26" s="38" t="inlineStr">
        <is>
          <t>-</t>
        </is>
      </c>
      <c r="N26" s="38" t="inlineStr">
        <is>
          <t>-</t>
        </is>
      </c>
      <c r="O26" s="38" t="inlineStr">
        <is>
          <t>-</t>
        </is>
      </c>
      <c r="P26" s="38" t="inlineStr">
        <is>
          <t>-</t>
        </is>
      </c>
      <c r="Q26" s="38" t="inlineStr">
        <is>
          <t>-</t>
        </is>
      </c>
      <c r="R26" s="38" t="inlineStr">
        <is>
          <t>-</t>
        </is>
      </c>
      <c r="S26" s="38" t="inlineStr">
        <is>
          <t>-</t>
        </is>
      </c>
      <c r="T26" s="38" t="inlineStr">
        <is>
          <t>-</t>
        </is>
      </c>
      <c r="U26" s="38" t="inlineStr">
        <is>
          <t>-</t>
        </is>
      </c>
      <c r="V26" s="38" t="inlineStr">
        <is>
          <t>-</t>
        </is>
      </c>
      <c r="W26" s="38" t="inlineStr">
        <is>
          <t>-</t>
        </is>
      </c>
      <c r="X26" s="38" t="inlineStr">
        <is>
          <t>-</t>
        </is>
      </c>
      <c r="Y26" s="38" t="inlineStr">
        <is>
          <t>-</t>
        </is>
      </c>
      <c r="Z26" s="38" t="inlineStr">
        <is>
          <t>-</t>
        </is>
      </c>
      <c r="AA26" s="38" t="inlineStr">
        <is>
          <t>-</t>
        </is>
      </c>
      <c r="AB26" s="38" t="inlineStr">
        <is>
          <t>-</t>
        </is>
      </c>
      <c r="AC26" s="38" t="inlineStr">
        <is>
          <t>-</t>
        </is>
      </c>
      <c r="AD26" s="38" t="inlineStr">
        <is>
          <t>-</t>
        </is>
      </c>
      <c r="AE26" s="38" t="inlineStr">
        <is>
          <t>-</t>
        </is>
      </c>
      <c r="AF26" s="48" t="inlineStr">
        <is>
          <t>-</t>
        </is>
      </c>
      <c r="AG26" s="39">
        <f>COUNTIF(B26:AE26, "P")</f>
        <v/>
      </c>
      <c r="AH26" s="15">
        <f>COUNTIF(B26:AE26, "CL")</f>
        <v/>
      </c>
      <c r="AI26" s="16">
        <f>COUNTIF(B26:AE26, "L")</f>
        <v/>
      </c>
      <c r="AJ26" s="17">
        <f>COUNTIF(B26:AE26, "WO")</f>
        <v/>
      </c>
      <c r="AK26" s="14">
        <f>COUNTIF(B26:AE26, "HO")</f>
        <v/>
      </c>
      <c r="AL26" s="18">
        <f>COUNTIF(B26:AE26, "CF")</f>
        <v/>
      </c>
      <c r="AM26" s="19">
        <f>AG26+AH26+AI26+AL26</f>
        <v/>
      </c>
      <c r="AN26" s="20">
        <f>IF(AM26&gt;0, AG26/AM26, 0)</f>
        <v/>
      </c>
    </row>
    <row r="27" ht="30" customHeight="1">
      <c r="A27" s="44" t="inlineStr">
        <is>
          <t>Overall Staff Total / Daily Present</t>
        </is>
      </c>
      <c r="B27" s="45">
        <f>COUNTIF(B5:B26, "P")</f>
        <v/>
      </c>
      <c r="C27" s="45">
        <f>COUNTIF(C5:C26, "P")</f>
        <v/>
      </c>
      <c r="D27" s="45">
        <f>COUNTIF(D5:D26, "P")</f>
        <v/>
      </c>
      <c r="E27" s="45">
        <f>COUNTIF(E5:E26, "P")</f>
        <v/>
      </c>
      <c r="F27" s="45">
        <f>COUNTIF(F5:F26, "P")</f>
        <v/>
      </c>
      <c r="G27" s="45">
        <f>COUNTIF(G5:G26, "P")</f>
        <v/>
      </c>
      <c r="H27" s="45">
        <f>COUNTIF(H5:H26, "P")</f>
        <v/>
      </c>
      <c r="I27" s="45">
        <f>COUNTIF(I5:I26, "P")</f>
        <v/>
      </c>
      <c r="J27" s="45">
        <f>COUNTIF(J5:J26, "P")</f>
        <v/>
      </c>
      <c r="K27" s="45">
        <f>COUNTIF(K5:K26, "P")</f>
        <v/>
      </c>
      <c r="L27" s="45">
        <f>COUNTIF(L5:L26, "P")</f>
        <v/>
      </c>
      <c r="M27" s="45">
        <f>COUNTIF(M5:M26, "P")</f>
        <v/>
      </c>
      <c r="N27" s="45">
        <f>COUNTIF(N5:N26, "P")</f>
        <v/>
      </c>
      <c r="O27" s="45">
        <f>COUNTIF(O5:O26, "P")</f>
        <v/>
      </c>
      <c r="P27" s="45">
        <f>COUNTIF(P5:P26, "P")</f>
        <v/>
      </c>
      <c r="Q27" s="45">
        <f>COUNTIF(Q5:Q26, "P")</f>
        <v/>
      </c>
      <c r="R27" s="45">
        <f>COUNTIF(R5:R26, "P")</f>
        <v/>
      </c>
      <c r="S27" s="45">
        <f>COUNTIF(S5:S26, "P")</f>
        <v/>
      </c>
      <c r="T27" s="45">
        <f>COUNTIF(T5:T26, "P")</f>
        <v/>
      </c>
      <c r="U27" s="45">
        <f>COUNTIF(U5:U26, "P")</f>
        <v/>
      </c>
      <c r="V27" s="45">
        <f>COUNTIF(V5:V26, "P")</f>
        <v/>
      </c>
      <c r="W27" s="45">
        <f>COUNTIF(W5:W26, "P")</f>
        <v/>
      </c>
      <c r="X27" s="45">
        <f>COUNTIF(X5:X26, "P")</f>
        <v/>
      </c>
      <c r="Y27" s="45">
        <f>COUNTIF(Y5:Y26, "P")</f>
        <v/>
      </c>
      <c r="Z27" s="45">
        <f>COUNTIF(Z5:Z26, "P")</f>
        <v/>
      </c>
      <c r="AA27" s="45">
        <f>COUNTIF(AA5:AA26, "P")</f>
        <v/>
      </c>
      <c r="AB27" s="45">
        <f>COUNTIF(AB5:AB26, "P")</f>
        <v/>
      </c>
      <c r="AC27" s="45">
        <f>COUNTIF(AC5:AC26, "P")</f>
        <v/>
      </c>
      <c r="AD27" s="45">
        <f>COUNTIF(AD5:AD26, "P")</f>
        <v/>
      </c>
      <c r="AE27" s="45">
        <f>COUNTIF(AE5:AE26, "P")</f>
        <v/>
      </c>
      <c r="AF27" s="49" t="inlineStr">
        <is>
          <t>-</t>
        </is>
      </c>
      <c r="AG27" s="46">
        <f>SUM(AG5:AG26)</f>
        <v/>
      </c>
      <c r="AH27" s="46">
        <f>SUM(AH5:AH26)</f>
        <v/>
      </c>
      <c r="AI27" s="46">
        <f>SUM(AI5:AI26)</f>
        <v/>
      </c>
      <c r="AJ27" s="46">
        <f>SUM(AJ5:AJ26)</f>
        <v/>
      </c>
      <c r="AK27" s="46">
        <f>SUM(AK5:AK26)</f>
        <v/>
      </c>
      <c r="AL27" s="46">
        <f>SUM(AL5:AL26)</f>
        <v/>
      </c>
      <c r="AM27" s="46">
        <f>SUM(AM5:AM26)</f>
        <v/>
      </c>
      <c r="AN27" s="24">
        <f>IF(AM27&gt;0, AG27/AM27, 0)</f>
        <v/>
      </c>
    </row>
  </sheetData>
  <mergeCells count="2">
    <mergeCell ref="A2:AN2"/>
    <mergeCell ref="A1:A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2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11" customWidth="1" min="39" max="39"/>
    <col width="14" customWidth="1" min="40" max="40"/>
  </cols>
  <sheetData>
    <row r="1" ht="36" customHeight="1">
      <c r="A1" s="25" t="inlineStr">
        <is>
          <t>VASUS ATTENDANCE TRACKER — OCTOBER 2025</t>
        </is>
      </c>
    </row>
    <row r="2" ht="24" customHeight="1">
      <c r="A2" s="2" t="inlineStr">
        <is>
          <t>Status Codes:  [P] Present (Green)  |  [CL] Casual Leave (Teal)  |  [L] Leave (Red)  |  [WO] Week Off (Purple)  |  [HO] Holiday (Mint)  |  [CF] Comp Off (Pink)  |  [-] Blank</t>
        </is>
      </c>
    </row>
    <row r="3" ht="10" customHeight="1"/>
    <row r="4" ht="36" customHeight="1">
      <c r="A4" s="26" t="inlineStr">
        <is>
          <t>Employee / Doctor</t>
        </is>
      </c>
      <c r="B4" s="27" t="inlineStr">
        <is>
          <t>1
Wed</t>
        </is>
      </c>
      <c r="C4" s="27" t="inlineStr">
        <is>
          <t>2
Thu</t>
        </is>
      </c>
      <c r="D4" s="27" t="inlineStr">
        <is>
          <t>3
Fri</t>
        </is>
      </c>
      <c r="E4" s="27" t="inlineStr">
        <is>
          <t>4
Sat</t>
        </is>
      </c>
      <c r="F4" s="27" t="inlineStr">
        <is>
          <t>5
Sun</t>
        </is>
      </c>
      <c r="G4" s="27" t="inlineStr">
        <is>
          <t>6
Mon</t>
        </is>
      </c>
      <c r="H4" s="27" t="inlineStr">
        <is>
          <t>7
Tue</t>
        </is>
      </c>
      <c r="I4" s="27" t="inlineStr">
        <is>
          <t>8
Wed</t>
        </is>
      </c>
      <c r="J4" s="27" t="inlineStr">
        <is>
          <t>9
Thu</t>
        </is>
      </c>
      <c r="K4" s="27" t="inlineStr">
        <is>
          <t>10
Fri</t>
        </is>
      </c>
      <c r="L4" s="27" t="inlineStr">
        <is>
          <t>11
Sat</t>
        </is>
      </c>
      <c r="M4" s="27" t="inlineStr">
        <is>
          <t>12
Sun</t>
        </is>
      </c>
      <c r="N4" s="27" t="inlineStr">
        <is>
          <t>13
Mon</t>
        </is>
      </c>
      <c r="O4" s="27" t="inlineStr">
        <is>
          <t>14
Tue</t>
        </is>
      </c>
      <c r="P4" s="27" t="inlineStr">
        <is>
          <t>15
Wed</t>
        </is>
      </c>
      <c r="Q4" s="27" t="inlineStr">
        <is>
          <t>16
Thu</t>
        </is>
      </c>
      <c r="R4" s="27" t="inlineStr">
        <is>
          <t>17
Fri</t>
        </is>
      </c>
      <c r="S4" s="27" t="inlineStr">
        <is>
          <t>18
Sat</t>
        </is>
      </c>
      <c r="T4" s="27" t="inlineStr">
        <is>
          <t>19
Sun</t>
        </is>
      </c>
      <c r="U4" s="27" t="inlineStr">
        <is>
          <t>20
Mon</t>
        </is>
      </c>
      <c r="V4" s="27" t="inlineStr">
        <is>
          <t>21
Tue</t>
        </is>
      </c>
      <c r="W4" s="27" t="inlineStr">
        <is>
          <t>22
Wed</t>
        </is>
      </c>
      <c r="X4" s="27" t="inlineStr">
        <is>
          <t>23
Thu</t>
        </is>
      </c>
      <c r="Y4" s="27" t="inlineStr">
        <is>
          <t>24
Fri</t>
        </is>
      </c>
      <c r="Z4" s="27" t="inlineStr">
        <is>
          <t>25
Sat</t>
        </is>
      </c>
      <c r="AA4" s="27" t="inlineStr">
        <is>
          <t>26
Sun</t>
        </is>
      </c>
      <c r="AB4" s="27" t="inlineStr">
        <is>
          <t>27
Mon</t>
        </is>
      </c>
      <c r="AC4" s="27" t="inlineStr">
        <is>
          <t>28
Tue</t>
        </is>
      </c>
      <c r="AD4" s="27" t="inlineStr">
        <is>
          <t>29
Wed</t>
        </is>
      </c>
      <c r="AE4" s="27" t="inlineStr">
        <is>
          <t>30
Thu</t>
        </is>
      </c>
      <c r="AF4" s="27" t="inlineStr">
        <is>
          <t>31
Fri</t>
        </is>
      </c>
      <c r="AG4" s="28" t="inlineStr">
        <is>
          <t>P</t>
        </is>
      </c>
      <c r="AH4" s="29" t="inlineStr">
        <is>
          <t>CL</t>
        </is>
      </c>
      <c r="AI4" s="30" t="inlineStr">
        <is>
          <t>L</t>
        </is>
      </c>
      <c r="AJ4" s="31" t="inlineStr">
        <is>
          <t>WO</t>
        </is>
      </c>
      <c r="AK4" s="32" t="inlineStr">
        <is>
          <t>HO</t>
        </is>
      </c>
      <c r="AL4" s="33" t="inlineStr">
        <is>
          <t>CF</t>
        </is>
      </c>
      <c r="AM4" s="27" t="inlineStr">
        <is>
          <t>Working
Days</t>
        </is>
      </c>
      <c r="AN4" s="34" t="inlineStr">
        <is>
          <t>Attendance
%</t>
        </is>
      </c>
    </row>
    <row r="5" ht="32" customHeight="1">
      <c r="A5" s="35" t="inlineStr">
        <is>
          <t>DR BINDU
Doctor</t>
        </is>
      </c>
      <c r="B5" s="38" t="inlineStr">
        <is>
          <t>-</t>
        </is>
      </c>
      <c r="C5" s="38" t="inlineStr">
        <is>
          <t>-</t>
        </is>
      </c>
      <c r="D5" s="38" t="inlineStr">
        <is>
          <t>-</t>
        </is>
      </c>
      <c r="E5" s="38" t="inlineStr">
        <is>
          <t>-</t>
        </is>
      </c>
      <c r="F5" s="38" t="inlineStr">
        <is>
          <t>-</t>
        </is>
      </c>
      <c r="G5" s="38" t="inlineStr">
        <is>
          <t>-</t>
        </is>
      </c>
      <c r="H5" s="38" t="inlineStr">
        <is>
          <t>-</t>
        </is>
      </c>
      <c r="I5" s="38" t="inlineStr">
        <is>
          <t>-</t>
        </is>
      </c>
      <c r="J5" s="38" t="inlineStr">
        <is>
          <t>-</t>
        </is>
      </c>
      <c r="K5" s="38" t="inlineStr">
        <is>
          <t>-</t>
        </is>
      </c>
      <c r="L5" s="38" t="inlineStr">
        <is>
          <t>-</t>
        </is>
      </c>
      <c r="M5" s="38" t="inlineStr">
        <is>
          <t>-</t>
        </is>
      </c>
      <c r="N5" s="38" t="inlineStr">
        <is>
          <t>-</t>
        </is>
      </c>
      <c r="O5" s="38" t="inlineStr">
        <is>
          <t>-</t>
        </is>
      </c>
      <c r="P5" s="38" t="inlineStr">
        <is>
          <t>-</t>
        </is>
      </c>
      <c r="Q5" s="38" t="inlineStr">
        <is>
          <t>-</t>
        </is>
      </c>
      <c r="R5" s="38" t="inlineStr">
        <is>
          <t>-</t>
        </is>
      </c>
      <c r="S5" s="38" t="inlineStr">
        <is>
          <t>-</t>
        </is>
      </c>
      <c r="T5" s="38" t="inlineStr">
        <is>
          <t>-</t>
        </is>
      </c>
      <c r="U5" s="38" t="inlineStr">
        <is>
          <t>-</t>
        </is>
      </c>
      <c r="V5" s="38" t="inlineStr">
        <is>
          <t>-</t>
        </is>
      </c>
      <c r="W5" s="38" t="inlineStr">
        <is>
          <t>-</t>
        </is>
      </c>
      <c r="X5" s="38" t="inlineStr">
        <is>
          <t>-</t>
        </is>
      </c>
      <c r="Y5" s="38" t="inlineStr">
        <is>
          <t>-</t>
        </is>
      </c>
      <c r="Z5" s="38" t="inlineStr">
        <is>
          <t>-</t>
        </is>
      </c>
      <c r="AA5" s="38" t="inlineStr">
        <is>
          <t>-</t>
        </is>
      </c>
      <c r="AB5" s="38" t="inlineStr">
        <is>
          <t>-</t>
        </is>
      </c>
      <c r="AC5" s="38" t="inlineStr">
        <is>
          <t>-</t>
        </is>
      </c>
      <c r="AD5" s="38" t="inlineStr">
        <is>
          <t>-</t>
        </is>
      </c>
      <c r="AE5" s="38" t="inlineStr">
        <is>
          <t>-</t>
        </is>
      </c>
      <c r="AF5" s="38" t="inlineStr">
        <is>
          <t>-</t>
        </is>
      </c>
      <c r="AG5" s="39">
        <f>COUNTIF(B5:AF5, "P")</f>
        <v/>
      </c>
      <c r="AH5" s="15">
        <f>COUNTIF(B5:AF5, "CL")</f>
        <v/>
      </c>
      <c r="AI5" s="16">
        <f>COUNTIF(B5:AF5, "L")</f>
        <v/>
      </c>
      <c r="AJ5" s="17">
        <f>COUNTIF(B5:AF5, "WO")</f>
        <v/>
      </c>
      <c r="AK5" s="14">
        <f>COUNTIF(B5:AF5, "HO")</f>
        <v/>
      </c>
      <c r="AL5" s="18">
        <f>COUNTIF(B5:AF5, "CF")</f>
        <v/>
      </c>
      <c r="AM5" s="19">
        <f>AG5+AH5+AI5+AL5</f>
        <v/>
      </c>
      <c r="AN5" s="20">
        <f>IF(AM5&gt;0, AG5/AM5, 0)</f>
        <v/>
      </c>
    </row>
    <row r="6" ht="32" customHeight="1">
      <c r="A6" s="40" t="inlineStr">
        <is>
          <t>DR CHINJU
Doctor</t>
        </is>
      </c>
      <c r="B6" s="38" t="inlineStr">
        <is>
          <t>-</t>
        </is>
      </c>
      <c r="C6" s="38" t="inlineStr">
        <is>
          <t>-</t>
        </is>
      </c>
      <c r="D6" s="38" t="inlineStr">
        <is>
          <t>-</t>
        </is>
      </c>
      <c r="E6" s="38" t="inlineStr">
        <is>
          <t>-</t>
        </is>
      </c>
      <c r="F6" s="38" t="inlineStr">
        <is>
          <t>-</t>
        </is>
      </c>
      <c r="G6" s="38" t="inlineStr">
        <is>
          <t>-</t>
        </is>
      </c>
      <c r="H6" s="38" t="inlineStr">
        <is>
          <t>-</t>
        </is>
      </c>
      <c r="I6" s="38" t="inlineStr">
        <is>
          <t>-</t>
        </is>
      </c>
      <c r="J6" s="38" t="inlineStr">
        <is>
          <t>-</t>
        </is>
      </c>
      <c r="K6" s="38" t="inlineStr">
        <is>
          <t>-</t>
        </is>
      </c>
      <c r="L6" s="38" t="inlineStr">
        <is>
          <t>-</t>
        </is>
      </c>
      <c r="M6" s="38" t="inlineStr">
        <is>
          <t>-</t>
        </is>
      </c>
      <c r="N6" s="38" t="inlineStr">
        <is>
          <t>-</t>
        </is>
      </c>
      <c r="O6" s="38" t="inlineStr">
        <is>
          <t>-</t>
        </is>
      </c>
      <c r="P6" s="38" t="inlineStr">
        <is>
          <t>-</t>
        </is>
      </c>
      <c r="Q6" s="38" t="inlineStr">
        <is>
          <t>-</t>
        </is>
      </c>
      <c r="R6" s="38" t="inlineStr">
        <is>
          <t>-</t>
        </is>
      </c>
      <c r="S6" s="38" t="inlineStr">
        <is>
          <t>-</t>
        </is>
      </c>
      <c r="T6" s="38" t="inlineStr">
        <is>
          <t>-</t>
        </is>
      </c>
      <c r="U6" s="38" t="inlineStr">
        <is>
          <t>-</t>
        </is>
      </c>
      <c r="V6" s="38" t="inlineStr">
        <is>
          <t>-</t>
        </is>
      </c>
      <c r="W6" s="38" t="inlineStr">
        <is>
          <t>-</t>
        </is>
      </c>
      <c r="X6" s="38" t="inlineStr">
        <is>
          <t>-</t>
        </is>
      </c>
      <c r="Y6" s="38" t="inlineStr">
        <is>
          <t>-</t>
        </is>
      </c>
      <c r="Z6" s="38" t="inlineStr">
        <is>
          <t>-</t>
        </is>
      </c>
      <c r="AA6" s="38" t="inlineStr">
        <is>
          <t>-</t>
        </is>
      </c>
      <c r="AB6" s="38" t="inlineStr">
        <is>
          <t>-</t>
        </is>
      </c>
      <c r="AC6" s="38" t="inlineStr">
        <is>
          <t>-</t>
        </is>
      </c>
      <c r="AD6" s="38" t="inlineStr">
        <is>
          <t>-</t>
        </is>
      </c>
      <c r="AE6" s="38" t="inlineStr">
        <is>
          <t>-</t>
        </is>
      </c>
      <c r="AF6" s="38" t="inlineStr">
        <is>
          <t>-</t>
        </is>
      </c>
      <c r="AG6" s="39">
        <f>COUNTIF(B6:AF6, "P")</f>
        <v/>
      </c>
      <c r="AH6" s="15">
        <f>COUNTIF(B6:AF6, "CL")</f>
        <v/>
      </c>
      <c r="AI6" s="16">
        <f>COUNTIF(B6:AF6, "L")</f>
        <v/>
      </c>
      <c r="AJ6" s="17">
        <f>COUNTIF(B6:AF6, "WO")</f>
        <v/>
      </c>
      <c r="AK6" s="14">
        <f>COUNTIF(B6:AF6, "HO")</f>
        <v/>
      </c>
      <c r="AL6" s="18">
        <f>COUNTIF(B6:AF6, "CF")</f>
        <v/>
      </c>
      <c r="AM6" s="19">
        <f>AG6+AH6+AI6+AL6</f>
        <v/>
      </c>
      <c r="AN6" s="20">
        <f>IF(AM6&gt;0, AG6/AM6, 0)</f>
        <v/>
      </c>
    </row>
    <row r="7" ht="32" customHeight="1">
      <c r="A7" s="35" t="inlineStr">
        <is>
          <t>DR PRANAY
Doctor</t>
        </is>
      </c>
      <c r="B7" s="38" t="inlineStr">
        <is>
          <t>-</t>
        </is>
      </c>
      <c r="C7" s="38" t="inlineStr">
        <is>
          <t>-</t>
        </is>
      </c>
      <c r="D7" s="38" t="inlineStr">
        <is>
          <t>-</t>
        </is>
      </c>
      <c r="E7" s="38" t="inlineStr">
        <is>
          <t>-</t>
        </is>
      </c>
      <c r="F7" s="38" t="inlineStr">
        <is>
          <t>-</t>
        </is>
      </c>
      <c r="G7" s="38" t="inlineStr">
        <is>
          <t>-</t>
        </is>
      </c>
      <c r="H7" s="38" t="inlineStr">
        <is>
          <t>-</t>
        </is>
      </c>
      <c r="I7" s="38" t="inlineStr">
        <is>
          <t>-</t>
        </is>
      </c>
      <c r="J7" s="38" t="inlineStr">
        <is>
          <t>-</t>
        </is>
      </c>
      <c r="K7" s="38" t="inlineStr">
        <is>
          <t>-</t>
        </is>
      </c>
      <c r="L7" s="38" t="inlineStr">
        <is>
          <t>-</t>
        </is>
      </c>
      <c r="M7" s="38" t="inlineStr">
        <is>
          <t>-</t>
        </is>
      </c>
      <c r="N7" s="38" t="inlineStr">
        <is>
          <t>-</t>
        </is>
      </c>
      <c r="O7" s="38" t="inlineStr">
        <is>
          <t>-</t>
        </is>
      </c>
      <c r="P7" s="38" t="inlineStr">
        <is>
          <t>-</t>
        </is>
      </c>
      <c r="Q7" s="38" t="inlineStr">
        <is>
          <t>-</t>
        </is>
      </c>
      <c r="R7" s="38" t="inlineStr">
        <is>
          <t>-</t>
        </is>
      </c>
      <c r="S7" s="38" t="inlineStr">
        <is>
          <t>-</t>
        </is>
      </c>
      <c r="T7" s="38" t="inlineStr">
        <is>
          <t>-</t>
        </is>
      </c>
      <c r="U7" s="38" t="inlineStr">
        <is>
          <t>-</t>
        </is>
      </c>
      <c r="V7" s="38" t="inlineStr">
        <is>
          <t>-</t>
        </is>
      </c>
      <c r="W7" s="38" t="inlineStr">
        <is>
          <t>-</t>
        </is>
      </c>
      <c r="X7" s="38" t="inlineStr">
        <is>
          <t>-</t>
        </is>
      </c>
      <c r="Y7" s="38" t="inlineStr">
        <is>
          <t>-</t>
        </is>
      </c>
      <c r="Z7" s="38" t="inlineStr">
        <is>
          <t>-</t>
        </is>
      </c>
      <c r="AA7" s="38" t="inlineStr">
        <is>
          <t>-</t>
        </is>
      </c>
      <c r="AB7" s="38" t="inlineStr">
        <is>
          <t>-</t>
        </is>
      </c>
      <c r="AC7" s="38" t="inlineStr">
        <is>
          <t>-</t>
        </is>
      </c>
      <c r="AD7" s="38" t="inlineStr">
        <is>
          <t>-</t>
        </is>
      </c>
      <c r="AE7" s="38" t="inlineStr">
        <is>
          <t>-</t>
        </is>
      </c>
      <c r="AF7" s="38" t="inlineStr">
        <is>
          <t>-</t>
        </is>
      </c>
      <c r="AG7" s="39">
        <f>COUNTIF(B7:AF7, "P")</f>
        <v/>
      </c>
      <c r="AH7" s="15">
        <f>COUNTIF(B7:AF7, "CL")</f>
        <v/>
      </c>
      <c r="AI7" s="16">
        <f>COUNTIF(B7:AF7, "L")</f>
        <v/>
      </c>
      <c r="AJ7" s="17">
        <f>COUNTIF(B7:AF7, "WO")</f>
        <v/>
      </c>
      <c r="AK7" s="14">
        <f>COUNTIF(B7:AF7, "HO")</f>
        <v/>
      </c>
      <c r="AL7" s="18">
        <f>COUNTIF(B7:AF7, "CF")</f>
        <v/>
      </c>
      <c r="AM7" s="19">
        <f>AG7+AH7+AI7+AL7</f>
        <v/>
      </c>
      <c r="AN7" s="20">
        <f>IF(AM7&gt;0, AG7/AM7, 0)</f>
        <v/>
      </c>
    </row>
    <row r="8" ht="32" customHeight="1">
      <c r="A8" s="40" t="inlineStr">
        <is>
          <t>DR SUNITHA
Doctor</t>
        </is>
      </c>
      <c r="B8" s="38" t="inlineStr">
        <is>
          <t>-</t>
        </is>
      </c>
      <c r="C8" s="38" t="inlineStr">
        <is>
          <t>-</t>
        </is>
      </c>
      <c r="D8" s="38" t="inlineStr">
        <is>
          <t>-</t>
        </is>
      </c>
      <c r="E8" s="38" t="inlineStr">
        <is>
          <t>-</t>
        </is>
      </c>
      <c r="F8" s="38" t="inlineStr">
        <is>
          <t>-</t>
        </is>
      </c>
      <c r="G8" s="38" t="inlineStr">
        <is>
          <t>-</t>
        </is>
      </c>
      <c r="H8" s="38" t="inlineStr">
        <is>
          <t>-</t>
        </is>
      </c>
      <c r="I8" s="38" t="inlineStr">
        <is>
          <t>-</t>
        </is>
      </c>
      <c r="J8" s="38" t="inlineStr">
        <is>
          <t>-</t>
        </is>
      </c>
      <c r="K8" s="38" t="inlineStr">
        <is>
          <t>-</t>
        </is>
      </c>
      <c r="L8" s="38" t="inlineStr">
        <is>
          <t>-</t>
        </is>
      </c>
      <c r="M8" s="38" t="inlineStr">
        <is>
          <t>-</t>
        </is>
      </c>
      <c r="N8" s="38" t="inlineStr">
        <is>
          <t>-</t>
        </is>
      </c>
      <c r="O8" s="38" t="inlineStr">
        <is>
          <t>-</t>
        </is>
      </c>
      <c r="P8" s="38" t="inlineStr">
        <is>
          <t>-</t>
        </is>
      </c>
      <c r="Q8" s="38" t="inlineStr">
        <is>
          <t>-</t>
        </is>
      </c>
      <c r="R8" s="38" t="inlineStr">
        <is>
          <t>-</t>
        </is>
      </c>
      <c r="S8" s="38" t="inlineStr">
        <is>
          <t>-</t>
        </is>
      </c>
      <c r="T8" s="38" t="inlineStr">
        <is>
          <t>-</t>
        </is>
      </c>
      <c r="U8" s="38" t="inlineStr">
        <is>
          <t>-</t>
        </is>
      </c>
      <c r="V8" s="38" t="inlineStr">
        <is>
          <t>-</t>
        </is>
      </c>
      <c r="W8" s="38" t="inlineStr">
        <is>
          <t>-</t>
        </is>
      </c>
      <c r="X8" s="38" t="inlineStr">
        <is>
          <t>-</t>
        </is>
      </c>
      <c r="Y8" s="38" t="inlineStr">
        <is>
          <t>-</t>
        </is>
      </c>
      <c r="Z8" s="38" t="inlineStr">
        <is>
          <t>-</t>
        </is>
      </c>
      <c r="AA8" s="38" t="inlineStr">
        <is>
          <t>-</t>
        </is>
      </c>
      <c r="AB8" s="38" t="inlineStr">
        <is>
          <t>-</t>
        </is>
      </c>
      <c r="AC8" s="38" t="inlineStr">
        <is>
          <t>-</t>
        </is>
      </c>
      <c r="AD8" s="38" t="inlineStr">
        <is>
          <t>-</t>
        </is>
      </c>
      <c r="AE8" s="38" t="inlineStr">
        <is>
          <t>-</t>
        </is>
      </c>
      <c r="AF8" s="38" t="inlineStr">
        <is>
          <t>-</t>
        </is>
      </c>
      <c r="AG8" s="39">
        <f>COUNTIF(B8:AF8, "P")</f>
        <v/>
      </c>
      <c r="AH8" s="15">
        <f>COUNTIF(B8:AF8, "CL")</f>
        <v/>
      </c>
      <c r="AI8" s="16">
        <f>COUNTIF(B8:AF8, "L")</f>
        <v/>
      </c>
      <c r="AJ8" s="17">
        <f>COUNTIF(B8:AF8, "WO")</f>
        <v/>
      </c>
      <c r="AK8" s="14">
        <f>COUNTIF(B8:AF8, "HO")</f>
        <v/>
      </c>
      <c r="AL8" s="18">
        <f>COUNTIF(B8:AF8, "CF")</f>
        <v/>
      </c>
      <c r="AM8" s="19">
        <f>AG8+AH8+AI8+AL8</f>
        <v/>
      </c>
      <c r="AN8" s="20">
        <f>IF(AM8&gt;0, AG8/AM8, 0)</f>
        <v/>
      </c>
    </row>
    <row r="9" ht="32" customHeight="1">
      <c r="A9" s="35" t="inlineStr">
        <is>
          <t>DR VARUN
Doctor</t>
        </is>
      </c>
      <c r="B9" s="38" t="inlineStr">
        <is>
          <t>-</t>
        </is>
      </c>
      <c r="C9" s="38" t="inlineStr">
        <is>
          <t>-</t>
        </is>
      </c>
      <c r="D9" s="38" t="inlineStr">
        <is>
          <t>-</t>
        </is>
      </c>
      <c r="E9" s="38" t="inlineStr">
        <is>
          <t>-</t>
        </is>
      </c>
      <c r="F9" s="38" t="inlineStr">
        <is>
          <t>-</t>
        </is>
      </c>
      <c r="G9" s="38" t="inlineStr">
        <is>
          <t>-</t>
        </is>
      </c>
      <c r="H9" s="38" t="inlineStr">
        <is>
          <t>-</t>
        </is>
      </c>
      <c r="I9" s="38" t="inlineStr">
        <is>
          <t>-</t>
        </is>
      </c>
      <c r="J9" s="38" t="inlineStr">
        <is>
          <t>-</t>
        </is>
      </c>
      <c r="K9" s="38" t="inlineStr">
        <is>
          <t>-</t>
        </is>
      </c>
      <c r="L9" s="38" t="inlineStr">
        <is>
          <t>-</t>
        </is>
      </c>
      <c r="M9" s="38" t="inlineStr">
        <is>
          <t>-</t>
        </is>
      </c>
      <c r="N9" s="38" t="inlineStr">
        <is>
          <t>-</t>
        </is>
      </c>
      <c r="O9" s="38" t="inlineStr">
        <is>
          <t>-</t>
        </is>
      </c>
      <c r="P9" s="38" t="inlineStr">
        <is>
          <t>-</t>
        </is>
      </c>
      <c r="Q9" s="38" t="inlineStr">
        <is>
          <t>-</t>
        </is>
      </c>
      <c r="R9" s="38" t="inlineStr">
        <is>
          <t>-</t>
        </is>
      </c>
      <c r="S9" s="38" t="inlineStr">
        <is>
          <t>-</t>
        </is>
      </c>
      <c r="T9" s="38" t="inlineStr">
        <is>
          <t>-</t>
        </is>
      </c>
      <c r="U9" s="38" t="inlineStr">
        <is>
          <t>-</t>
        </is>
      </c>
      <c r="V9" s="38" t="inlineStr">
        <is>
          <t>-</t>
        </is>
      </c>
      <c r="W9" s="38" t="inlineStr">
        <is>
          <t>-</t>
        </is>
      </c>
      <c r="X9" s="38" t="inlineStr">
        <is>
          <t>-</t>
        </is>
      </c>
      <c r="Y9" s="38" t="inlineStr">
        <is>
          <t>-</t>
        </is>
      </c>
      <c r="Z9" s="38" t="inlineStr">
        <is>
          <t>-</t>
        </is>
      </c>
      <c r="AA9" s="38" t="inlineStr">
        <is>
          <t>-</t>
        </is>
      </c>
      <c r="AB9" s="38" t="inlineStr">
        <is>
          <t>-</t>
        </is>
      </c>
      <c r="AC9" s="38" t="inlineStr">
        <is>
          <t>-</t>
        </is>
      </c>
      <c r="AD9" s="38" t="inlineStr">
        <is>
          <t>-</t>
        </is>
      </c>
      <c r="AE9" s="38" t="inlineStr">
        <is>
          <t>-</t>
        </is>
      </c>
      <c r="AF9" s="38" t="inlineStr">
        <is>
          <t>-</t>
        </is>
      </c>
      <c r="AG9" s="39">
        <f>COUNTIF(B9:AF9, "P")</f>
        <v/>
      </c>
      <c r="AH9" s="15">
        <f>COUNTIF(B9:AF9, "CL")</f>
        <v/>
      </c>
      <c r="AI9" s="16">
        <f>COUNTIF(B9:AF9, "L")</f>
        <v/>
      </c>
      <c r="AJ9" s="17">
        <f>COUNTIF(B9:AF9, "WO")</f>
        <v/>
      </c>
      <c r="AK9" s="14">
        <f>COUNTIF(B9:AF9, "HO")</f>
        <v/>
      </c>
      <c r="AL9" s="18">
        <f>COUNTIF(B9:AF9, "CF")</f>
        <v/>
      </c>
      <c r="AM9" s="19">
        <f>AG9+AH9+AI9+AL9</f>
        <v/>
      </c>
      <c r="AN9" s="20">
        <f>IF(AM9&gt;0, AG9/AM9, 0)</f>
        <v/>
      </c>
    </row>
    <row r="10" ht="32" customHeight="1">
      <c r="A10" s="40" t="inlineStr">
        <is>
          <t>RAMESH
Employee</t>
        </is>
      </c>
      <c r="B10" s="36" t="inlineStr">
        <is>
          <t>P</t>
        </is>
      </c>
      <c r="C10" s="50" t="inlineStr">
        <is>
          <t>HO</t>
        </is>
      </c>
      <c r="D10" s="36" t="inlineStr">
        <is>
          <t>P</t>
        </is>
      </c>
      <c r="E10" s="36" t="inlineStr">
        <is>
          <t>P</t>
        </is>
      </c>
      <c r="F10" s="37" t="inlineStr">
        <is>
          <t>WO</t>
        </is>
      </c>
      <c r="G10" s="36" t="inlineStr">
        <is>
          <t>P</t>
        </is>
      </c>
      <c r="H10" s="36" t="inlineStr">
        <is>
          <t>P</t>
        </is>
      </c>
      <c r="I10" s="36" t="inlineStr">
        <is>
          <t>P</t>
        </is>
      </c>
      <c r="J10" s="36" t="inlineStr">
        <is>
          <t>P</t>
        </is>
      </c>
      <c r="K10" s="36" t="inlineStr">
        <is>
          <t>P</t>
        </is>
      </c>
      <c r="L10" s="36" t="inlineStr">
        <is>
          <t>P</t>
        </is>
      </c>
      <c r="M10" s="37" t="inlineStr">
        <is>
          <t>WO</t>
        </is>
      </c>
      <c r="N10" s="36" t="inlineStr">
        <is>
          <t>P</t>
        </is>
      </c>
      <c r="O10" s="36" t="inlineStr">
        <is>
          <t>P</t>
        </is>
      </c>
      <c r="P10" s="36" t="inlineStr">
        <is>
          <t>P</t>
        </is>
      </c>
      <c r="Q10" s="36" t="inlineStr">
        <is>
          <t>P</t>
        </is>
      </c>
      <c r="R10" s="36" t="inlineStr">
        <is>
          <t>P</t>
        </is>
      </c>
      <c r="S10" s="36" t="inlineStr">
        <is>
          <t>P</t>
        </is>
      </c>
      <c r="T10" s="37" t="inlineStr">
        <is>
          <t>WO</t>
        </is>
      </c>
      <c r="U10" s="50" t="inlineStr">
        <is>
          <t>HO</t>
        </is>
      </c>
      <c r="V10" s="36" t="inlineStr">
        <is>
          <t>P</t>
        </is>
      </c>
      <c r="W10" s="36" t="inlineStr">
        <is>
          <t>P</t>
        </is>
      </c>
      <c r="X10" s="36" t="inlineStr">
        <is>
          <t>P</t>
        </is>
      </c>
      <c r="Y10" s="36" t="inlineStr">
        <is>
          <t>P</t>
        </is>
      </c>
      <c r="Z10" s="36" t="inlineStr">
        <is>
          <t>P</t>
        </is>
      </c>
      <c r="AA10" s="37" t="inlineStr">
        <is>
          <t>WO</t>
        </is>
      </c>
      <c r="AB10" s="36" t="inlineStr">
        <is>
          <t>P</t>
        </is>
      </c>
      <c r="AC10" s="36" t="inlineStr">
        <is>
          <t>P</t>
        </is>
      </c>
      <c r="AD10" s="38" t="inlineStr">
        <is>
          <t>-</t>
        </is>
      </c>
      <c r="AE10" s="38" t="inlineStr">
        <is>
          <t>-</t>
        </is>
      </c>
      <c r="AF10" s="38" t="inlineStr">
        <is>
          <t>-</t>
        </is>
      </c>
      <c r="AG10" s="39">
        <f>COUNTIF(B10:AF10, "P")</f>
        <v/>
      </c>
      <c r="AH10" s="15">
        <f>COUNTIF(B10:AF10, "CL")</f>
        <v/>
      </c>
      <c r="AI10" s="16">
        <f>COUNTIF(B10:AF10, "L")</f>
        <v/>
      </c>
      <c r="AJ10" s="17">
        <f>COUNTIF(B10:AF10, "WO")</f>
        <v/>
      </c>
      <c r="AK10" s="14">
        <f>COUNTIF(B10:AF10, "HO")</f>
        <v/>
      </c>
      <c r="AL10" s="18">
        <f>COUNTIF(B10:AF10, "CF")</f>
        <v/>
      </c>
      <c r="AM10" s="19">
        <f>AG10+AH10+AI10+AL10</f>
        <v/>
      </c>
      <c r="AN10" s="20">
        <f>IF(AM10&gt;0, AG10/AM10, 0)</f>
        <v/>
      </c>
    </row>
    <row r="11" ht="32" customHeight="1">
      <c r="A11" s="35" t="inlineStr">
        <is>
          <t>MANI
Employee</t>
        </is>
      </c>
      <c r="B11" s="41" t="inlineStr">
        <is>
          <t>CL</t>
        </is>
      </c>
      <c r="C11" s="36" t="inlineStr">
        <is>
          <t>P</t>
        </is>
      </c>
      <c r="D11" s="36" t="inlineStr">
        <is>
          <t>P</t>
        </is>
      </c>
      <c r="E11" s="36" t="inlineStr">
        <is>
          <t>P</t>
        </is>
      </c>
      <c r="F11" s="37" t="inlineStr">
        <is>
          <t>WO</t>
        </is>
      </c>
      <c r="G11" s="36" t="inlineStr">
        <is>
          <t>P</t>
        </is>
      </c>
      <c r="H11" s="36" t="inlineStr">
        <is>
          <t>P</t>
        </is>
      </c>
      <c r="I11" s="36" t="inlineStr">
        <is>
          <t>P</t>
        </is>
      </c>
      <c r="J11" s="36" t="inlineStr">
        <is>
          <t>P</t>
        </is>
      </c>
      <c r="K11" s="36" t="inlineStr">
        <is>
          <t>P</t>
        </is>
      </c>
      <c r="L11" s="36" t="inlineStr">
        <is>
          <t>P</t>
        </is>
      </c>
      <c r="M11" s="37" t="inlineStr">
        <is>
          <t>WO</t>
        </is>
      </c>
      <c r="N11" s="36" t="inlineStr">
        <is>
          <t>P</t>
        </is>
      </c>
      <c r="O11" s="36" t="inlineStr">
        <is>
          <t>P</t>
        </is>
      </c>
      <c r="P11" s="36" t="inlineStr">
        <is>
          <t>P</t>
        </is>
      </c>
      <c r="Q11" s="36" t="inlineStr">
        <is>
          <t>P</t>
        </is>
      </c>
      <c r="R11" s="36" t="inlineStr">
        <is>
          <t>P</t>
        </is>
      </c>
      <c r="S11" s="36" t="inlineStr">
        <is>
          <t>P</t>
        </is>
      </c>
      <c r="T11" s="37" t="inlineStr">
        <is>
          <t>WO</t>
        </is>
      </c>
      <c r="U11" s="50" t="inlineStr">
        <is>
          <t>HO</t>
        </is>
      </c>
      <c r="V11" s="36" t="inlineStr">
        <is>
          <t>P</t>
        </is>
      </c>
      <c r="W11" s="36" t="inlineStr">
        <is>
          <t>P</t>
        </is>
      </c>
      <c r="X11" s="36" t="inlineStr">
        <is>
          <t>P</t>
        </is>
      </c>
      <c r="Y11" s="36" t="inlineStr">
        <is>
          <t>P</t>
        </is>
      </c>
      <c r="Z11" s="36" t="inlineStr">
        <is>
          <t>P</t>
        </is>
      </c>
      <c r="AA11" s="37" t="inlineStr">
        <is>
          <t>WO</t>
        </is>
      </c>
      <c r="AB11" s="36" t="inlineStr">
        <is>
          <t>P</t>
        </is>
      </c>
      <c r="AC11" s="36" t="inlineStr">
        <is>
          <t>P</t>
        </is>
      </c>
      <c r="AD11" s="38" t="inlineStr">
        <is>
          <t>-</t>
        </is>
      </c>
      <c r="AE11" s="38" t="inlineStr">
        <is>
          <t>-</t>
        </is>
      </c>
      <c r="AF11" s="38" t="inlineStr">
        <is>
          <t>-</t>
        </is>
      </c>
      <c r="AG11" s="39">
        <f>COUNTIF(B11:AF11, "P")</f>
        <v/>
      </c>
      <c r="AH11" s="15">
        <f>COUNTIF(B11:AF11, "CL")</f>
        <v/>
      </c>
      <c r="AI11" s="16">
        <f>COUNTIF(B11:AF11, "L")</f>
        <v/>
      </c>
      <c r="AJ11" s="17">
        <f>COUNTIF(B11:AF11, "WO")</f>
        <v/>
      </c>
      <c r="AK11" s="14">
        <f>COUNTIF(B11:AF11, "HO")</f>
        <v/>
      </c>
      <c r="AL11" s="18">
        <f>COUNTIF(B11:AF11, "CF")</f>
        <v/>
      </c>
      <c r="AM11" s="19">
        <f>AG11+AH11+AI11+AL11</f>
        <v/>
      </c>
      <c r="AN11" s="20">
        <f>IF(AM11&gt;0, AG11/AM11, 0)</f>
        <v/>
      </c>
    </row>
    <row r="12" ht="32" customHeight="1">
      <c r="A12" s="40" t="inlineStr">
        <is>
          <t>NEELIMA
Employee</t>
        </is>
      </c>
      <c r="B12" s="36" t="inlineStr">
        <is>
          <t>P</t>
        </is>
      </c>
      <c r="C12" s="36" t="inlineStr">
        <is>
          <t>P</t>
        </is>
      </c>
      <c r="D12" s="36" t="inlineStr">
        <is>
          <t>P</t>
        </is>
      </c>
      <c r="E12" s="41" t="inlineStr">
        <is>
          <t>CL</t>
        </is>
      </c>
      <c r="F12" s="37" t="inlineStr">
        <is>
          <t>WO</t>
        </is>
      </c>
      <c r="G12" s="36" t="inlineStr">
        <is>
          <t>P</t>
        </is>
      </c>
      <c r="H12" s="36" t="inlineStr">
        <is>
          <t>P</t>
        </is>
      </c>
      <c r="I12" s="36" t="inlineStr">
        <is>
          <t>P</t>
        </is>
      </c>
      <c r="J12" s="36" t="inlineStr">
        <is>
          <t>P</t>
        </is>
      </c>
      <c r="K12" s="36" t="inlineStr">
        <is>
          <t>P</t>
        </is>
      </c>
      <c r="L12" s="36" t="inlineStr">
        <is>
          <t>P</t>
        </is>
      </c>
      <c r="M12" s="37" t="inlineStr">
        <is>
          <t>WO</t>
        </is>
      </c>
      <c r="N12" s="36" t="inlineStr">
        <is>
          <t>P</t>
        </is>
      </c>
      <c r="O12" s="36" t="inlineStr">
        <is>
          <t>P</t>
        </is>
      </c>
      <c r="P12" s="36" t="inlineStr">
        <is>
          <t>P</t>
        </is>
      </c>
      <c r="Q12" s="36" t="inlineStr">
        <is>
          <t>P</t>
        </is>
      </c>
      <c r="R12" s="36" t="inlineStr">
        <is>
          <t>P</t>
        </is>
      </c>
      <c r="S12" s="36" t="inlineStr">
        <is>
          <t>P</t>
        </is>
      </c>
      <c r="T12" s="37" t="inlineStr">
        <is>
          <t>WO</t>
        </is>
      </c>
      <c r="U12" s="50" t="inlineStr">
        <is>
          <t>HO</t>
        </is>
      </c>
      <c r="V12" s="36" t="inlineStr">
        <is>
          <t>P</t>
        </is>
      </c>
      <c r="W12" s="36" t="inlineStr">
        <is>
          <t>P</t>
        </is>
      </c>
      <c r="X12" s="36" t="inlineStr">
        <is>
          <t>P</t>
        </is>
      </c>
      <c r="Y12" s="36" t="inlineStr">
        <is>
          <t>P</t>
        </is>
      </c>
      <c r="Z12" s="36" t="inlineStr">
        <is>
          <t>P</t>
        </is>
      </c>
      <c r="AA12" s="37" t="inlineStr">
        <is>
          <t>WO</t>
        </is>
      </c>
      <c r="AB12" s="36" t="inlineStr">
        <is>
          <t>P</t>
        </is>
      </c>
      <c r="AC12" s="36" t="inlineStr">
        <is>
          <t>P</t>
        </is>
      </c>
      <c r="AD12" s="38" t="inlineStr">
        <is>
          <t>-</t>
        </is>
      </c>
      <c r="AE12" s="38" t="inlineStr">
        <is>
          <t>-</t>
        </is>
      </c>
      <c r="AF12" s="38" t="inlineStr">
        <is>
          <t>-</t>
        </is>
      </c>
      <c r="AG12" s="39">
        <f>COUNTIF(B12:AF12, "P")</f>
        <v/>
      </c>
      <c r="AH12" s="15">
        <f>COUNTIF(B12:AF12, "CL")</f>
        <v/>
      </c>
      <c r="AI12" s="16">
        <f>COUNTIF(B12:AF12, "L")</f>
        <v/>
      </c>
      <c r="AJ12" s="17">
        <f>COUNTIF(B12:AF12, "WO")</f>
        <v/>
      </c>
      <c r="AK12" s="14">
        <f>COUNTIF(B12:AF12, "HO")</f>
        <v/>
      </c>
      <c r="AL12" s="18">
        <f>COUNTIF(B12:AF12, "CF")</f>
        <v/>
      </c>
      <c r="AM12" s="19">
        <f>AG12+AH12+AI12+AL12</f>
        <v/>
      </c>
      <c r="AN12" s="20">
        <f>IF(AM12&gt;0, AG12/AM12, 0)</f>
        <v/>
      </c>
    </row>
    <row r="13" ht="32" customHeight="1">
      <c r="A13" s="35" t="inlineStr">
        <is>
          <t>KAVITHA
Employee</t>
        </is>
      </c>
      <c r="B13" s="36" t="inlineStr">
        <is>
          <t>P</t>
        </is>
      </c>
      <c r="C13" s="50" t="inlineStr">
        <is>
          <t>HO</t>
        </is>
      </c>
      <c r="D13" s="36" t="inlineStr">
        <is>
          <t>P</t>
        </is>
      </c>
      <c r="E13" s="36" t="inlineStr">
        <is>
          <t>P</t>
        </is>
      </c>
      <c r="F13" s="37" t="inlineStr">
        <is>
          <t>WO</t>
        </is>
      </c>
      <c r="G13" s="36" t="inlineStr">
        <is>
          <t>P</t>
        </is>
      </c>
      <c r="H13" s="36" t="inlineStr">
        <is>
          <t>P</t>
        </is>
      </c>
      <c r="I13" s="36" t="inlineStr">
        <is>
          <t>P</t>
        </is>
      </c>
      <c r="J13" s="36" t="inlineStr">
        <is>
          <t>P</t>
        </is>
      </c>
      <c r="K13" s="36" t="inlineStr">
        <is>
          <t>P</t>
        </is>
      </c>
      <c r="L13" s="36" t="inlineStr">
        <is>
          <t>P</t>
        </is>
      </c>
      <c r="M13" s="37" t="inlineStr">
        <is>
          <t>WO</t>
        </is>
      </c>
      <c r="N13" s="36" t="inlineStr">
        <is>
          <t>P</t>
        </is>
      </c>
      <c r="O13" s="36" t="inlineStr">
        <is>
          <t>P</t>
        </is>
      </c>
      <c r="P13" s="36" t="inlineStr">
        <is>
          <t>P</t>
        </is>
      </c>
      <c r="Q13" s="36" t="inlineStr">
        <is>
          <t>P</t>
        </is>
      </c>
      <c r="R13" s="36" t="inlineStr">
        <is>
          <t>P</t>
        </is>
      </c>
      <c r="S13" s="36" t="inlineStr">
        <is>
          <t>P</t>
        </is>
      </c>
      <c r="T13" s="37" t="inlineStr">
        <is>
          <t>WO</t>
        </is>
      </c>
      <c r="U13" s="50" t="inlineStr">
        <is>
          <t>HO</t>
        </is>
      </c>
      <c r="V13" s="36" t="inlineStr">
        <is>
          <t>P</t>
        </is>
      </c>
      <c r="W13" s="36" t="inlineStr">
        <is>
          <t>P</t>
        </is>
      </c>
      <c r="X13" s="36" t="inlineStr">
        <is>
          <t>P</t>
        </is>
      </c>
      <c r="Y13" s="41" t="inlineStr">
        <is>
          <t>CL</t>
        </is>
      </c>
      <c r="Z13" s="36" t="inlineStr">
        <is>
          <t>P</t>
        </is>
      </c>
      <c r="AA13" s="37" t="inlineStr">
        <is>
          <t>WO</t>
        </is>
      </c>
      <c r="AB13" s="36" t="inlineStr">
        <is>
          <t>P</t>
        </is>
      </c>
      <c r="AC13" s="36" t="inlineStr">
        <is>
          <t>P</t>
        </is>
      </c>
      <c r="AD13" s="38" t="inlineStr">
        <is>
          <t>-</t>
        </is>
      </c>
      <c r="AE13" s="38" t="inlineStr">
        <is>
          <t>-</t>
        </is>
      </c>
      <c r="AF13" s="38" t="inlineStr">
        <is>
          <t>-</t>
        </is>
      </c>
      <c r="AG13" s="39">
        <f>COUNTIF(B13:AF13, "P")</f>
        <v/>
      </c>
      <c r="AH13" s="15">
        <f>COUNTIF(B13:AF13, "CL")</f>
        <v/>
      </c>
      <c r="AI13" s="16">
        <f>COUNTIF(B13:AF13, "L")</f>
        <v/>
      </c>
      <c r="AJ13" s="17">
        <f>COUNTIF(B13:AF13, "WO")</f>
        <v/>
      </c>
      <c r="AK13" s="14">
        <f>COUNTIF(B13:AF13, "HO")</f>
        <v/>
      </c>
      <c r="AL13" s="18">
        <f>COUNTIF(B13:AF13, "CF")</f>
        <v/>
      </c>
      <c r="AM13" s="19">
        <f>AG13+AH13+AI13+AL13</f>
        <v/>
      </c>
      <c r="AN13" s="20">
        <f>IF(AM13&gt;0, AG13/AM13, 0)</f>
        <v/>
      </c>
    </row>
    <row r="14" ht="32" customHeight="1">
      <c r="A14" s="40" t="inlineStr">
        <is>
          <t>VANI
Employee</t>
        </is>
      </c>
      <c r="B14" s="41" t="inlineStr">
        <is>
          <t>CL</t>
        </is>
      </c>
      <c r="C14" s="50" t="inlineStr">
        <is>
          <t>HO</t>
        </is>
      </c>
      <c r="D14" s="36" t="inlineStr">
        <is>
          <t>P</t>
        </is>
      </c>
      <c r="E14" s="36" t="inlineStr">
        <is>
          <t>P</t>
        </is>
      </c>
      <c r="F14" s="37" t="inlineStr">
        <is>
          <t>WO</t>
        </is>
      </c>
      <c r="G14" s="36" t="inlineStr">
        <is>
          <t>P</t>
        </is>
      </c>
      <c r="H14" s="36" t="inlineStr">
        <is>
          <t>P</t>
        </is>
      </c>
      <c r="I14" s="36" t="inlineStr">
        <is>
          <t>P</t>
        </is>
      </c>
      <c r="J14" s="36" t="inlineStr">
        <is>
          <t>P</t>
        </is>
      </c>
      <c r="K14" s="36" t="inlineStr">
        <is>
          <t>P</t>
        </is>
      </c>
      <c r="L14" s="36" t="inlineStr">
        <is>
          <t>P</t>
        </is>
      </c>
      <c r="M14" s="37" t="inlineStr">
        <is>
          <t>WO</t>
        </is>
      </c>
      <c r="N14" s="36" t="inlineStr">
        <is>
          <t>P</t>
        </is>
      </c>
      <c r="O14" s="36" t="inlineStr">
        <is>
          <t>P</t>
        </is>
      </c>
      <c r="P14" s="36" t="inlineStr">
        <is>
          <t>P</t>
        </is>
      </c>
      <c r="Q14" s="36" t="inlineStr">
        <is>
          <t>P</t>
        </is>
      </c>
      <c r="R14" s="36" t="inlineStr">
        <is>
          <t>P</t>
        </is>
      </c>
      <c r="S14" s="36" t="inlineStr">
        <is>
          <t>P</t>
        </is>
      </c>
      <c r="T14" s="37" t="inlineStr">
        <is>
          <t>WO</t>
        </is>
      </c>
      <c r="U14" s="36" t="inlineStr">
        <is>
          <t>P</t>
        </is>
      </c>
      <c r="V14" s="50" t="inlineStr">
        <is>
          <t>HO</t>
        </is>
      </c>
      <c r="W14" s="36" t="inlineStr">
        <is>
          <t>P</t>
        </is>
      </c>
      <c r="X14" s="36" t="inlineStr">
        <is>
          <t>P</t>
        </is>
      </c>
      <c r="Y14" s="36" t="inlineStr">
        <is>
          <t>P</t>
        </is>
      </c>
      <c r="Z14" s="36" t="inlineStr">
        <is>
          <t>P</t>
        </is>
      </c>
      <c r="AA14" s="37" t="inlineStr">
        <is>
          <t>WO</t>
        </is>
      </c>
      <c r="AB14" s="36" t="inlineStr">
        <is>
          <t>P</t>
        </is>
      </c>
      <c r="AC14" s="36" t="inlineStr">
        <is>
          <t>P</t>
        </is>
      </c>
      <c r="AD14" s="38" t="inlineStr">
        <is>
          <t>-</t>
        </is>
      </c>
      <c r="AE14" s="38" t="inlineStr">
        <is>
          <t>-</t>
        </is>
      </c>
      <c r="AF14" s="38" t="inlineStr">
        <is>
          <t>-</t>
        </is>
      </c>
      <c r="AG14" s="39">
        <f>COUNTIF(B14:AF14, "P")</f>
        <v/>
      </c>
      <c r="AH14" s="15">
        <f>COUNTIF(B14:AF14, "CL")</f>
        <v/>
      </c>
      <c r="AI14" s="16">
        <f>COUNTIF(B14:AF14, "L")</f>
        <v/>
      </c>
      <c r="AJ14" s="17">
        <f>COUNTIF(B14:AF14, "WO")</f>
        <v/>
      </c>
      <c r="AK14" s="14">
        <f>COUNTIF(B14:AF14, "HO")</f>
        <v/>
      </c>
      <c r="AL14" s="18">
        <f>COUNTIF(B14:AF14, "CF")</f>
        <v/>
      </c>
      <c r="AM14" s="19">
        <f>AG14+AH14+AI14+AL14</f>
        <v/>
      </c>
      <c r="AN14" s="20">
        <f>IF(AM14&gt;0, AG14/AM14, 0)</f>
        <v/>
      </c>
    </row>
    <row r="15" ht="32" customHeight="1">
      <c r="A15" s="35" t="inlineStr">
        <is>
          <t>PHANI
Employee</t>
        </is>
      </c>
      <c r="B15" s="36" t="inlineStr">
        <is>
          <t>P</t>
        </is>
      </c>
      <c r="C15" s="36" t="inlineStr">
        <is>
          <t>P</t>
        </is>
      </c>
      <c r="D15" s="36" t="inlineStr">
        <is>
          <t>P</t>
        </is>
      </c>
      <c r="E15" s="36" t="inlineStr">
        <is>
          <t>P</t>
        </is>
      </c>
      <c r="F15" s="36" t="inlineStr">
        <is>
          <t>P</t>
        </is>
      </c>
      <c r="G15" s="41" t="inlineStr">
        <is>
          <t>CL</t>
        </is>
      </c>
      <c r="H15" s="36" t="inlineStr">
        <is>
          <t>P</t>
        </is>
      </c>
      <c r="I15" s="36" t="inlineStr">
        <is>
          <t>P</t>
        </is>
      </c>
      <c r="J15" s="36" t="inlineStr">
        <is>
          <t>P</t>
        </is>
      </c>
      <c r="K15" s="36" t="inlineStr">
        <is>
          <t>P</t>
        </is>
      </c>
      <c r="L15" s="36" t="inlineStr">
        <is>
          <t>P</t>
        </is>
      </c>
      <c r="M15" s="43" t="inlineStr">
        <is>
          <t>CF</t>
        </is>
      </c>
      <c r="N15" s="37" t="inlineStr">
        <is>
          <t>WO</t>
        </is>
      </c>
      <c r="O15" s="36" t="inlineStr">
        <is>
          <t>P</t>
        </is>
      </c>
      <c r="P15" s="36" t="inlineStr">
        <is>
          <t>P</t>
        </is>
      </c>
      <c r="Q15" s="36" t="inlineStr">
        <is>
          <t>P</t>
        </is>
      </c>
      <c r="R15" s="36" t="inlineStr">
        <is>
          <t>P</t>
        </is>
      </c>
      <c r="S15" s="36" t="inlineStr">
        <is>
          <t>P</t>
        </is>
      </c>
      <c r="T15" s="36" t="inlineStr">
        <is>
          <t>P</t>
        </is>
      </c>
      <c r="U15" s="36" t="inlineStr">
        <is>
          <t>P</t>
        </is>
      </c>
      <c r="V15" s="36" t="inlineStr">
        <is>
          <t>P</t>
        </is>
      </c>
      <c r="W15" s="36" t="inlineStr">
        <is>
          <t>P</t>
        </is>
      </c>
      <c r="X15" s="37" t="inlineStr">
        <is>
          <t>WO</t>
        </is>
      </c>
      <c r="Y15" s="36" t="inlineStr">
        <is>
          <t>P</t>
        </is>
      </c>
      <c r="Z15" s="36" t="inlineStr">
        <is>
          <t>P</t>
        </is>
      </c>
      <c r="AA15" s="36" t="inlineStr">
        <is>
          <t>P</t>
        </is>
      </c>
      <c r="AB15" s="36" t="inlineStr">
        <is>
          <t>P</t>
        </is>
      </c>
      <c r="AC15" s="36" t="inlineStr">
        <is>
          <t>P</t>
        </is>
      </c>
      <c r="AD15" s="38" t="inlineStr">
        <is>
          <t>-</t>
        </is>
      </c>
      <c r="AE15" s="38" t="inlineStr">
        <is>
          <t>-</t>
        </is>
      </c>
      <c r="AF15" s="38" t="inlineStr">
        <is>
          <t>-</t>
        </is>
      </c>
      <c r="AG15" s="39">
        <f>COUNTIF(B15:AF15, "P")</f>
        <v/>
      </c>
      <c r="AH15" s="15">
        <f>COUNTIF(B15:AF15, "CL")</f>
        <v/>
      </c>
      <c r="AI15" s="16">
        <f>COUNTIF(B15:AF15, "L")</f>
        <v/>
      </c>
      <c r="AJ15" s="17">
        <f>COUNTIF(B15:AF15, "WO")</f>
        <v/>
      </c>
      <c r="AK15" s="14">
        <f>COUNTIF(B15:AF15, "HO")</f>
        <v/>
      </c>
      <c r="AL15" s="18">
        <f>COUNTIF(B15:AF15, "CF")</f>
        <v/>
      </c>
      <c r="AM15" s="19">
        <f>AG15+AH15+AI15+AL15</f>
        <v/>
      </c>
      <c r="AN15" s="20">
        <f>IF(AM15&gt;0, AG15/AM15, 0)</f>
        <v/>
      </c>
    </row>
    <row r="16" ht="32" customHeight="1">
      <c r="A16" s="40" t="inlineStr">
        <is>
          <t>Ch Praveen Kumar
Employee</t>
        </is>
      </c>
      <c r="B16" s="36" t="inlineStr">
        <is>
          <t>P</t>
        </is>
      </c>
      <c r="C16" s="36" t="inlineStr">
        <is>
          <t>P</t>
        </is>
      </c>
      <c r="D16" s="36" t="inlineStr">
        <is>
          <t>P</t>
        </is>
      </c>
      <c r="E16" s="41" t="inlineStr">
        <is>
          <t>CL</t>
        </is>
      </c>
      <c r="F16" s="37" t="inlineStr">
        <is>
          <t>WO</t>
        </is>
      </c>
      <c r="G16" s="36" t="inlineStr">
        <is>
          <t>P</t>
        </is>
      </c>
      <c r="H16" s="36" t="inlineStr">
        <is>
          <t>P</t>
        </is>
      </c>
      <c r="I16" s="36" t="inlineStr">
        <is>
          <t>P</t>
        </is>
      </c>
      <c r="J16" s="36" t="inlineStr">
        <is>
          <t>P</t>
        </is>
      </c>
      <c r="K16" s="36" t="inlineStr">
        <is>
          <t>P</t>
        </is>
      </c>
      <c r="L16" s="36" t="inlineStr">
        <is>
          <t>P</t>
        </is>
      </c>
      <c r="M16" s="37" t="inlineStr">
        <is>
          <t>WO</t>
        </is>
      </c>
      <c r="N16" s="36" t="inlineStr">
        <is>
          <t>P</t>
        </is>
      </c>
      <c r="O16" s="36" t="inlineStr">
        <is>
          <t>P</t>
        </is>
      </c>
      <c r="P16" s="36" t="inlineStr">
        <is>
          <t>P</t>
        </is>
      </c>
      <c r="Q16" s="36" t="inlineStr">
        <is>
          <t>P</t>
        </is>
      </c>
      <c r="R16" s="36" t="inlineStr">
        <is>
          <t>P</t>
        </is>
      </c>
      <c r="S16" s="36" t="inlineStr">
        <is>
          <t>P</t>
        </is>
      </c>
      <c r="T16" s="37" t="inlineStr">
        <is>
          <t>WO</t>
        </is>
      </c>
      <c r="U16" s="36" t="inlineStr">
        <is>
          <t>P</t>
        </is>
      </c>
      <c r="V16" s="36" t="inlineStr">
        <is>
          <t>P</t>
        </is>
      </c>
      <c r="W16" s="36" t="inlineStr">
        <is>
          <t>P</t>
        </is>
      </c>
      <c r="X16" s="36" t="inlineStr">
        <is>
          <t>P</t>
        </is>
      </c>
      <c r="Y16" s="36" t="inlineStr">
        <is>
          <t>P</t>
        </is>
      </c>
      <c r="Z16" s="36" t="inlineStr">
        <is>
          <t>P</t>
        </is>
      </c>
      <c r="AA16" s="37" t="inlineStr">
        <is>
          <t>WO</t>
        </is>
      </c>
      <c r="AB16" s="43" t="inlineStr">
        <is>
          <t>CF</t>
        </is>
      </c>
      <c r="AC16" s="36" t="inlineStr">
        <is>
          <t>P</t>
        </is>
      </c>
      <c r="AD16" s="38" t="inlineStr">
        <is>
          <t>-</t>
        </is>
      </c>
      <c r="AE16" s="38" t="inlineStr">
        <is>
          <t>-</t>
        </is>
      </c>
      <c r="AF16" s="38" t="inlineStr">
        <is>
          <t>-</t>
        </is>
      </c>
      <c r="AG16" s="39">
        <f>COUNTIF(B16:AF16, "P")</f>
        <v/>
      </c>
      <c r="AH16" s="15">
        <f>COUNTIF(B16:AF16, "CL")</f>
        <v/>
      </c>
      <c r="AI16" s="16">
        <f>COUNTIF(B16:AF16, "L")</f>
        <v/>
      </c>
      <c r="AJ16" s="17">
        <f>COUNTIF(B16:AF16, "WO")</f>
        <v/>
      </c>
      <c r="AK16" s="14">
        <f>COUNTIF(B16:AF16, "HO")</f>
        <v/>
      </c>
      <c r="AL16" s="18">
        <f>COUNTIF(B16:AF16, "CF")</f>
        <v/>
      </c>
      <c r="AM16" s="19">
        <f>AG16+AH16+AI16+AL16</f>
        <v/>
      </c>
      <c r="AN16" s="20">
        <f>IF(AM16&gt;0, AG16/AM16, 0)</f>
        <v/>
      </c>
    </row>
    <row r="17" ht="32" customHeight="1">
      <c r="A17" s="35" t="inlineStr">
        <is>
          <t>SIRISHA
Employee</t>
        </is>
      </c>
      <c r="B17" s="36" t="inlineStr">
        <is>
          <t>P</t>
        </is>
      </c>
      <c r="C17" s="36" t="inlineStr">
        <is>
          <t>P</t>
        </is>
      </c>
      <c r="D17" s="36" t="inlineStr">
        <is>
          <t>P</t>
        </is>
      </c>
      <c r="E17" s="36" t="inlineStr">
        <is>
          <t>P</t>
        </is>
      </c>
      <c r="F17" s="37" t="inlineStr">
        <is>
          <t>WO</t>
        </is>
      </c>
      <c r="G17" s="36" t="inlineStr">
        <is>
          <t>P</t>
        </is>
      </c>
      <c r="H17" s="36" t="inlineStr">
        <is>
          <t>P</t>
        </is>
      </c>
      <c r="I17" s="36" t="inlineStr">
        <is>
          <t>P</t>
        </is>
      </c>
      <c r="J17" s="41" t="inlineStr">
        <is>
          <t>CL</t>
        </is>
      </c>
      <c r="K17" s="36" t="inlineStr">
        <is>
          <t>P</t>
        </is>
      </c>
      <c r="L17" s="36" t="inlineStr">
        <is>
          <t>P</t>
        </is>
      </c>
      <c r="M17" s="37" t="inlineStr">
        <is>
          <t>WO</t>
        </is>
      </c>
      <c r="N17" s="36" t="inlineStr">
        <is>
          <t>P</t>
        </is>
      </c>
      <c r="O17" s="36" t="inlineStr">
        <is>
          <t>P</t>
        </is>
      </c>
      <c r="P17" s="36" t="inlineStr">
        <is>
          <t>P</t>
        </is>
      </c>
      <c r="Q17" s="36" t="inlineStr">
        <is>
          <t>P</t>
        </is>
      </c>
      <c r="R17" s="36" t="inlineStr">
        <is>
          <t>P</t>
        </is>
      </c>
      <c r="S17" s="36" t="inlineStr">
        <is>
          <t>P</t>
        </is>
      </c>
      <c r="T17" s="37" t="inlineStr">
        <is>
          <t>WO</t>
        </is>
      </c>
      <c r="U17" s="50" t="inlineStr">
        <is>
          <t>HO</t>
        </is>
      </c>
      <c r="V17" s="43" t="inlineStr">
        <is>
          <t>CF</t>
        </is>
      </c>
      <c r="W17" s="36" t="inlineStr">
        <is>
          <t>P</t>
        </is>
      </c>
      <c r="X17" s="36" t="inlineStr">
        <is>
          <t>P</t>
        </is>
      </c>
      <c r="Y17" s="36" t="inlineStr">
        <is>
          <t>P</t>
        </is>
      </c>
      <c r="Z17" s="36" t="inlineStr">
        <is>
          <t>P</t>
        </is>
      </c>
      <c r="AA17" s="37" t="inlineStr">
        <is>
          <t>WO</t>
        </is>
      </c>
      <c r="AB17" s="36" t="inlineStr">
        <is>
          <t>P</t>
        </is>
      </c>
      <c r="AC17" s="36" t="inlineStr">
        <is>
          <t>P</t>
        </is>
      </c>
      <c r="AD17" s="38" t="inlineStr">
        <is>
          <t>-</t>
        </is>
      </c>
      <c r="AE17" s="38" t="inlineStr">
        <is>
          <t>-</t>
        </is>
      </c>
      <c r="AF17" s="38" t="inlineStr">
        <is>
          <t>-</t>
        </is>
      </c>
      <c r="AG17" s="39">
        <f>COUNTIF(B17:AF17, "P")</f>
        <v/>
      </c>
      <c r="AH17" s="15">
        <f>COUNTIF(B17:AF17, "CL")</f>
        <v/>
      </c>
      <c r="AI17" s="16">
        <f>COUNTIF(B17:AF17, "L")</f>
        <v/>
      </c>
      <c r="AJ17" s="17">
        <f>COUNTIF(B17:AF17, "WO")</f>
        <v/>
      </c>
      <c r="AK17" s="14">
        <f>COUNTIF(B17:AF17, "HO")</f>
        <v/>
      </c>
      <c r="AL17" s="18">
        <f>COUNTIF(B17:AF17, "CF")</f>
        <v/>
      </c>
      <c r="AM17" s="19">
        <f>AG17+AH17+AI17+AL17</f>
        <v/>
      </c>
      <c r="AN17" s="20">
        <f>IF(AM17&gt;0, AG17/AM17, 0)</f>
        <v/>
      </c>
    </row>
    <row r="18" ht="32" customHeight="1">
      <c r="A18" s="40" t="inlineStr">
        <is>
          <t>LAXMINARAYANA
Employee</t>
        </is>
      </c>
      <c r="B18" s="36" t="inlineStr">
        <is>
          <t>P</t>
        </is>
      </c>
      <c r="C18" s="50" t="inlineStr">
        <is>
          <t>HO</t>
        </is>
      </c>
      <c r="D18" s="36" t="inlineStr">
        <is>
          <t>P</t>
        </is>
      </c>
      <c r="E18" s="36" t="inlineStr">
        <is>
          <t>P</t>
        </is>
      </c>
      <c r="F18" s="37" t="inlineStr">
        <is>
          <t>WO</t>
        </is>
      </c>
      <c r="G18" s="36" t="inlineStr">
        <is>
          <t>P</t>
        </is>
      </c>
      <c r="H18" s="36" t="inlineStr">
        <is>
          <t>P</t>
        </is>
      </c>
      <c r="I18" s="36" t="inlineStr">
        <is>
          <t>P</t>
        </is>
      </c>
      <c r="J18" s="41" t="inlineStr">
        <is>
          <t>CL</t>
        </is>
      </c>
      <c r="K18" s="36" t="inlineStr">
        <is>
          <t>P</t>
        </is>
      </c>
      <c r="L18" s="36" t="inlineStr">
        <is>
          <t>P</t>
        </is>
      </c>
      <c r="M18" s="36" t="inlineStr">
        <is>
          <t>P</t>
        </is>
      </c>
      <c r="N18" s="36" t="inlineStr">
        <is>
          <t>P</t>
        </is>
      </c>
      <c r="O18" s="36" t="inlineStr">
        <is>
          <t>P</t>
        </is>
      </c>
      <c r="P18" s="36" t="inlineStr">
        <is>
          <t>P</t>
        </is>
      </c>
      <c r="Q18" s="36" t="inlineStr">
        <is>
          <t>P</t>
        </is>
      </c>
      <c r="R18" s="36" t="inlineStr">
        <is>
          <t>P</t>
        </is>
      </c>
      <c r="S18" s="36" t="inlineStr">
        <is>
          <t>P</t>
        </is>
      </c>
      <c r="T18" s="37" t="inlineStr">
        <is>
          <t>WO</t>
        </is>
      </c>
      <c r="U18" s="50" t="inlineStr">
        <is>
          <t>HO</t>
        </is>
      </c>
      <c r="V18" s="43" t="inlineStr">
        <is>
          <t>CF</t>
        </is>
      </c>
      <c r="W18" s="42" t="inlineStr">
        <is>
          <t>L</t>
        </is>
      </c>
      <c r="X18" s="36" t="inlineStr">
        <is>
          <t>P</t>
        </is>
      </c>
      <c r="Y18" s="36" t="inlineStr">
        <is>
          <t>P</t>
        </is>
      </c>
      <c r="Z18" s="36" t="inlineStr">
        <is>
          <t>P</t>
        </is>
      </c>
      <c r="AA18" s="37" t="inlineStr">
        <is>
          <t>WO</t>
        </is>
      </c>
      <c r="AB18" s="36" t="inlineStr">
        <is>
          <t>P</t>
        </is>
      </c>
      <c r="AC18" s="36" t="inlineStr">
        <is>
          <t>P</t>
        </is>
      </c>
      <c r="AD18" s="38" t="inlineStr">
        <is>
          <t>-</t>
        </is>
      </c>
      <c r="AE18" s="38" t="inlineStr">
        <is>
          <t>-</t>
        </is>
      </c>
      <c r="AF18" s="38" t="inlineStr">
        <is>
          <t>-</t>
        </is>
      </c>
      <c r="AG18" s="39">
        <f>COUNTIF(B18:AF18, "P")</f>
        <v/>
      </c>
      <c r="AH18" s="15">
        <f>COUNTIF(B18:AF18, "CL")</f>
        <v/>
      </c>
      <c r="AI18" s="16">
        <f>COUNTIF(B18:AF18, "L")</f>
        <v/>
      </c>
      <c r="AJ18" s="17">
        <f>COUNTIF(B18:AF18, "WO")</f>
        <v/>
      </c>
      <c r="AK18" s="14">
        <f>COUNTIF(B18:AF18, "HO")</f>
        <v/>
      </c>
      <c r="AL18" s="18">
        <f>COUNTIF(B18:AF18, "CF")</f>
        <v/>
      </c>
      <c r="AM18" s="19">
        <f>AG18+AH18+AI18+AL18</f>
        <v/>
      </c>
      <c r="AN18" s="20">
        <f>IF(AM18&gt;0, AG18/AM18, 0)</f>
        <v/>
      </c>
    </row>
    <row r="19" ht="32" customHeight="1">
      <c r="A19" s="35" t="inlineStr">
        <is>
          <t>VITTAL
Employee</t>
        </is>
      </c>
      <c r="B19" s="36" t="inlineStr">
        <is>
          <t>P</t>
        </is>
      </c>
      <c r="C19" s="50" t="inlineStr">
        <is>
          <t>HO</t>
        </is>
      </c>
      <c r="D19" s="36" t="inlineStr">
        <is>
          <t>P</t>
        </is>
      </c>
      <c r="E19" s="36" t="inlineStr">
        <is>
          <t>P</t>
        </is>
      </c>
      <c r="F19" s="37" t="inlineStr">
        <is>
          <t>WO</t>
        </is>
      </c>
      <c r="G19" s="41" t="inlineStr">
        <is>
          <t>CL</t>
        </is>
      </c>
      <c r="H19" s="36" t="inlineStr">
        <is>
          <t>P</t>
        </is>
      </c>
      <c r="I19" s="36" t="inlineStr">
        <is>
          <t>P</t>
        </is>
      </c>
      <c r="J19" s="36" t="inlineStr">
        <is>
          <t>P</t>
        </is>
      </c>
      <c r="K19" s="36" t="inlineStr">
        <is>
          <t>P</t>
        </is>
      </c>
      <c r="L19" s="42" t="inlineStr">
        <is>
          <t>L</t>
        </is>
      </c>
      <c r="M19" s="37" t="inlineStr">
        <is>
          <t>WO</t>
        </is>
      </c>
      <c r="N19" s="36" t="inlineStr">
        <is>
          <t>P</t>
        </is>
      </c>
      <c r="O19" s="36" t="inlineStr">
        <is>
          <t>P</t>
        </is>
      </c>
      <c r="P19" s="36" t="inlineStr">
        <is>
          <t>P</t>
        </is>
      </c>
      <c r="Q19" s="36" t="inlineStr">
        <is>
          <t>P</t>
        </is>
      </c>
      <c r="R19" s="43" t="inlineStr">
        <is>
          <t>CF</t>
        </is>
      </c>
      <c r="S19" s="36" t="inlineStr">
        <is>
          <t>P</t>
        </is>
      </c>
      <c r="T19" s="36" t="inlineStr">
        <is>
          <t>P</t>
        </is>
      </c>
      <c r="U19" s="50" t="inlineStr">
        <is>
          <t>HO</t>
        </is>
      </c>
      <c r="V19" s="36" t="inlineStr">
        <is>
          <t>P</t>
        </is>
      </c>
      <c r="W19" s="36" t="inlineStr">
        <is>
          <t>P</t>
        </is>
      </c>
      <c r="X19" s="36" t="inlineStr">
        <is>
          <t>P</t>
        </is>
      </c>
      <c r="Y19" s="36" t="inlineStr">
        <is>
          <t>P</t>
        </is>
      </c>
      <c r="Z19" s="36" t="inlineStr">
        <is>
          <t>P</t>
        </is>
      </c>
      <c r="AA19" s="37" t="inlineStr">
        <is>
          <t>WO</t>
        </is>
      </c>
      <c r="AB19" s="36" t="inlineStr">
        <is>
          <t>P</t>
        </is>
      </c>
      <c r="AC19" s="36" t="inlineStr">
        <is>
          <t>P</t>
        </is>
      </c>
      <c r="AD19" s="38" t="inlineStr">
        <is>
          <t>-</t>
        </is>
      </c>
      <c r="AE19" s="38" t="inlineStr">
        <is>
          <t>-</t>
        </is>
      </c>
      <c r="AF19" s="38" t="inlineStr">
        <is>
          <t>-</t>
        </is>
      </c>
      <c r="AG19" s="39">
        <f>COUNTIF(B19:AF19, "P")</f>
        <v/>
      </c>
      <c r="AH19" s="15">
        <f>COUNTIF(B19:AF19, "CL")</f>
        <v/>
      </c>
      <c r="AI19" s="16">
        <f>COUNTIF(B19:AF19, "L")</f>
        <v/>
      </c>
      <c r="AJ19" s="17">
        <f>COUNTIF(B19:AF19, "WO")</f>
        <v/>
      </c>
      <c r="AK19" s="14">
        <f>COUNTIF(B19:AF19, "HO")</f>
        <v/>
      </c>
      <c r="AL19" s="18">
        <f>COUNTIF(B19:AF19, "CF")</f>
        <v/>
      </c>
      <c r="AM19" s="19">
        <f>AG19+AH19+AI19+AL19</f>
        <v/>
      </c>
      <c r="AN19" s="20">
        <f>IF(AM19&gt;0, AG19/AM19, 0)</f>
        <v/>
      </c>
    </row>
    <row r="20" ht="32" customHeight="1">
      <c r="A20" s="40" t="inlineStr">
        <is>
          <t>CHANIKYA
Employee</t>
        </is>
      </c>
      <c r="B20" s="36" t="inlineStr">
        <is>
          <t>P</t>
        </is>
      </c>
      <c r="C20" s="50" t="inlineStr">
        <is>
          <t>HO</t>
        </is>
      </c>
      <c r="D20" s="36" t="inlineStr">
        <is>
          <t>P</t>
        </is>
      </c>
      <c r="E20" s="36" t="inlineStr">
        <is>
          <t>P</t>
        </is>
      </c>
      <c r="F20" s="37" t="inlineStr">
        <is>
          <t>WO</t>
        </is>
      </c>
      <c r="G20" s="36" t="inlineStr">
        <is>
          <t>P</t>
        </is>
      </c>
      <c r="H20" s="36" t="inlineStr">
        <is>
          <t>P</t>
        </is>
      </c>
      <c r="I20" s="36" t="inlineStr">
        <is>
          <t>P</t>
        </is>
      </c>
      <c r="J20" s="36" t="inlineStr">
        <is>
          <t>P</t>
        </is>
      </c>
      <c r="K20" s="36" t="inlineStr">
        <is>
          <t>P</t>
        </is>
      </c>
      <c r="L20" s="36" t="inlineStr">
        <is>
          <t>P</t>
        </is>
      </c>
      <c r="M20" s="37" t="inlineStr">
        <is>
          <t>WO</t>
        </is>
      </c>
      <c r="N20" s="36" t="inlineStr">
        <is>
          <t>P</t>
        </is>
      </c>
      <c r="O20" s="36" t="inlineStr">
        <is>
          <t>P</t>
        </is>
      </c>
      <c r="P20" s="36" t="inlineStr">
        <is>
          <t>P</t>
        </is>
      </c>
      <c r="Q20" s="36" t="inlineStr">
        <is>
          <t>P</t>
        </is>
      </c>
      <c r="R20" s="36" t="inlineStr">
        <is>
          <t>P</t>
        </is>
      </c>
      <c r="S20" s="41" t="inlineStr">
        <is>
          <t>CL</t>
        </is>
      </c>
      <c r="T20" s="37" t="inlineStr">
        <is>
          <t>WO</t>
        </is>
      </c>
      <c r="U20" s="50" t="inlineStr">
        <is>
          <t>HO</t>
        </is>
      </c>
      <c r="V20" s="36" t="inlineStr">
        <is>
          <t>P</t>
        </is>
      </c>
      <c r="W20" s="36" t="inlineStr">
        <is>
          <t>P</t>
        </is>
      </c>
      <c r="X20" s="36" t="inlineStr">
        <is>
          <t>P</t>
        </is>
      </c>
      <c r="Y20" s="42" t="inlineStr">
        <is>
          <t>L</t>
        </is>
      </c>
      <c r="Z20" s="42" t="inlineStr">
        <is>
          <t>L</t>
        </is>
      </c>
      <c r="AA20" s="37" t="inlineStr">
        <is>
          <t>WO</t>
        </is>
      </c>
      <c r="AB20" s="36" t="inlineStr">
        <is>
          <t>P</t>
        </is>
      </c>
      <c r="AC20" s="36" t="inlineStr">
        <is>
          <t>P</t>
        </is>
      </c>
      <c r="AD20" s="38" t="inlineStr">
        <is>
          <t>-</t>
        </is>
      </c>
      <c r="AE20" s="38" t="inlineStr">
        <is>
          <t>-</t>
        </is>
      </c>
      <c r="AF20" s="38" t="inlineStr">
        <is>
          <t>-</t>
        </is>
      </c>
      <c r="AG20" s="39">
        <f>COUNTIF(B20:AF20, "P")</f>
        <v/>
      </c>
      <c r="AH20" s="15">
        <f>COUNTIF(B20:AF20, "CL")</f>
        <v/>
      </c>
      <c r="AI20" s="16">
        <f>COUNTIF(B20:AF20, "L")</f>
        <v/>
      </c>
      <c r="AJ20" s="17">
        <f>COUNTIF(B20:AF20, "WO")</f>
        <v/>
      </c>
      <c r="AK20" s="14">
        <f>COUNTIF(B20:AF20, "HO")</f>
        <v/>
      </c>
      <c r="AL20" s="18">
        <f>COUNTIF(B20:AF20, "CF")</f>
        <v/>
      </c>
      <c r="AM20" s="19">
        <f>AG20+AH20+AI20+AL20</f>
        <v/>
      </c>
      <c r="AN20" s="20">
        <f>IF(AM20&gt;0, AG20/AM20, 0)</f>
        <v/>
      </c>
    </row>
    <row r="21" ht="32" customHeight="1">
      <c r="A21" s="35" t="inlineStr">
        <is>
          <t>RAVALI
Employee</t>
        </is>
      </c>
      <c r="B21" s="36" t="inlineStr">
        <is>
          <t>P</t>
        </is>
      </c>
      <c r="C21" s="50" t="inlineStr">
        <is>
          <t>HO</t>
        </is>
      </c>
      <c r="D21" s="36" t="inlineStr">
        <is>
          <t>P</t>
        </is>
      </c>
      <c r="E21" s="36" t="inlineStr">
        <is>
          <t>P</t>
        </is>
      </c>
      <c r="F21" s="37" t="inlineStr">
        <is>
          <t>WO</t>
        </is>
      </c>
      <c r="G21" s="36" t="inlineStr">
        <is>
          <t>P</t>
        </is>
      </c>
      <c r="H21" s="36" t="inlineStr">
        <is>
          <t>P</t>
        </is>
      </c>
      <c r="I21" s="36" t="inlineStr">
        <is>
          <t>P</t>
        </is>
      </c>
      <c r="J21" s="36" t="inlineStr">
        <is>
          <t>P</t>
        </is>
      </c>
      <c r="K21" s="36" t="inlineStr">
        <is>
          <t>P</t>
        </is>
      </c>
      <c r="L21" s="41" t="inlineStr">
        <is>
          <t>CL</t>
        </is>
      </c>
      <c r="M21" s="37" t="inlineStr">
        <is>
          <t>WO</t>
        </is>
      </c>
      <c r="N21" s="36" t="inlineStr">
        <is>
          <t>P</t>
        </is>
      </c>
      <c r="O21" s="36" t="inlineStr">
        <is>
          <t>P</t>
        </is>
      </c>
      <c r="P21" s="36" t="inlineStr">
        <is>
          <t>P</t>
        </is>
      </c>
      <c r="Q21" s="36" t="inlineStr">
        <is>
          <t>P</t>
        </is>
      </c>
      <c r="R21" s="36" t="inlineStr">
        <is>
          <t>P</t>
        </is>
      </c>
      <c r="S21" s="36" t="inlineStr">
        <is>
          <t>P</t>
        </is>
      </c>
      <c r="T21" s="37" t="inlineStr">
        <is>
          <t>WO</t>
        </is>
      </c>
      <c r="U21" s="50" t="inlineStr">
        <is>
          <t>HO</t>
        </is>
      </c>
      <c r="V21" s="42" t="inlineStr">
        <is>
          <t>L</t>
        </is>
      </c>
      <c r="W21" s="42" t="inlineStr">
        <is>
          <t>L</t>
        </is>
      </c>
      <c r="X21" s="36" t="inlineStr">
        <is>
          <t>P</t>
        </is>
      </c>
      <c r="Y21" s="36" t="inlineStr">
        <is>
          <t>P</t>
        </is>
      </c>
      <c r="Z21" s="36" t="inlineStr">
        <is>
          <t>P</t>
        </is>
      </c>
      <c r="AA21" s="37" t="inlineStr">
        <is>
          <t>WO</t>
        </is>
      </c>
      <c r="AB21" s="36" t="inlineStr">
        <is>
          <t>P</t>
        </is>
      </c>
      <c r="AC21" s="36" t="inlineStr">
        <is>
          <t>P</t>
        </is>
      </c>
      <c r="AD21" s="38" t="inlineStr">
        <is>
          <t>-</t>
        </is>
      </c>
      <c r="AE21" s="38" t="inlineStr">
        <is>
          <t>-</t>
        </is>
      </c>
      <c r="AF21" s="38" t="inlineStr">
        <is>
          <t>-</t>
        </is>
      </c>
      <c r="AG21" s="39">
        <f>COUNTIF(B21:AF21, "P")</f>
        <v/>
      </c>
      <c r="AH21" s="15">
        <f>COUNTIF(B21:AF21, "CL")</f>
        <v/>
      </c>
      <c r="AI21" s="16">
        <f>COUNTIF(B21:AF21, "L")</f>
        <v/>
      </c>
      <c r="AJ21" s="17">
        <f>COUNTIF(B21:AF21, "WO")</f>
        <v/>
      </c>
      <c r="AK21" s="14">
        <f>COUNTIF(B21:AF21, "HO")</f>
        <v/>
      </c>
      <c r="AL21" s="18">
        <f>COUNTIF(B21:AF21, "CF")</f>
        <v/>
      </c>
      <c r="AM21" s="19">
        <f>AG21+AH21+AI21+AL21</f>
        <v/>
      </c>
      <c r="AN21" s="20">
        <f>IF(AM21&gt;0, AG21/AM21, 0)</f>
        <v/>
      </c>
    </row>
    <row r="22" ht="32" customHeight="1">
      <c r="A22" s="40" t="inlineStr">
        <is>
          <t>SAI CHARAN
Employee</t>
        </is>
      </c>
      <c r="B22" s="36" t="inlineStr">
        <is>
          <t>P</t>
        </is>
      </c>
      <c r="C22" s="50" t="inlineStr">
        <is>
          <t>HO</t>
        </is>
      </c>
      <c r="D22" s="36" t="inlineStr">
        <is>
          <t>P</t>
        </is>
      </c>
      <c r="E22" s="36" t="inlineStr">
        <is>
          <t>P</t>
        </is>
      </c>
      <c r="F22" s="37" t="inlineStr">
        <is>
          <t>WO</t>
        </is>
      </c>
      <c r="G22" s="36" t="inlineStr">
        <is>
          <t>P</t>
        </is>
      </c>
      <c r="H22" s="36" t="inlineStr">
        <is>
          <t>P</t>
        </is>
      </c>
      <c r="I22" s="36" t="inlineStr">
        <is>
          <t>P</t>
        </is>
      </c>
      <c r="J22" s="36" t="inlineStr">
        <is>
          <t>P</t>
        </is>
      </c>
      <c r="K22" s="41" t="inlineStr">
        <is>
          <t>CL</t>
        </is>
      </c>
      <c r="L22" s="36" t="inlineStr">
        <is>
          <t>P</t>
        </is>
      </c>
      <c r="M22" s="37" t="inlineStr">
        <is>
          <t>WO</t>
        </is>
      </c>
      <c r="N22" s="36" t="inlineStr">
        <is>
          <t>P</t>
        </is>
      </c>
      <c r="O22" s="42" t="inlineStr">
        <is>
          <t>L</t>
        </is>
      </c>
      <c r="P22" s="36" t="inlineStr">
        <is>
          <t>P</t>
        </is>
      </c>
      <c r="Q22" s="36" t="inlineStr">
        <is>
          <t>P</t>
        </is>
      </c>
      <c r="R22" s="36" t="inlineStr">
        <is>
          <t>P</t>
        </is>
      </c>
      <c r="S22" s="36" t="inlineStr">
        <is>
          <t>P</t>
        </is>
      </c>
      <c r="T22" s="37" t="inlineStr">
        <is>
          <t>WO</t>
        </is>
      </c>
      <c r="U22" s="50" t="inlineStr">
        <is>
          <t>HO</t>
        </is>
      </c>
      <c r="V22" s="36" t="inlineStr">
        <is>
          <t>P</t>
        </is>
      </c>
      <c r="W22" s="36" t="inlineStr">
        <is>
          <t>P</t>
        </is>
      </c>
      <c r="X22" s="42" t="inlineStr">
        <is>
          <t>L</t>
        </is>
      </c>
      <c r="Y22" s="36" t="inlineStr">
        <is>
          <t>P</t>
        </is>
      </c>
      <c r="Z22" s="36" t="inlineStr">
        <is>
          <t>P</t>
        </is>
      </c>
      <c r="AA22" s="37" t="inlineStr">
        <is>
          <t>WO</t>
        </is>
      </c>
      <c r="AB22" s="36" t="inlineStr">
        <is>
          <t>P</t>
        </is>
      </c>
      <c r="AC22" s="36" t="inlineStr">
        <is>
          <t>P</t>
        </is>
      </c>
      <c r="AD22" s="38" t="inlineStr">
        <is>
          <t>-</t>
        </is>
      </c>
      <c r="AE22" s="38" t="inlineStr">
        <is>
          <t>-</t>
        </is>
      </c>
      <c r="AF22" s="38" t="inlineStr">
        <is>
          <t>-</t>
        </is>
      </c>
      <c r="AG22" s="39">
        <f>COUNTIF(B22:AF22, "P")</f>
        <v/>
      </c>
      <c r="AH22" s="15">
        <f>COUNTIF(B22:AF22, "CL")</f>
        <v/>
      </c>
      <c r="AI22" s="16">
        <f>COUNTIF(B22:AF22, "L")</f>
        <v/>
      </c>
      <c r="AJ22" s="17">
        <f>COUNTIF(B22:AF22, "WO")</f>
        <v/>
      </c>
      <c r="AK22" s="14">
        <f>COUNTIF(B22:AF22, "HO")</f>
        <v/>
      </c>
      <c r="AL22" s="18">
        <f>COUNTIF(B22:AF22, "CF")</f>
        <v/>
      </c>
      <c r="AM22" s="19">
        <f>AG22+AH22+AI22+AL22</f>
        <v/>
      </c>
      <c r="AN22" s="20">
        <f>IF(AM22&gt;0, AG22/AM22, 0)</f>
        <v/>
      </c>
    </row>
    <row r="23" ht="32" customHeight="1">
      <c r="A23" s="35" t="inlineStr">
        <is>
          <t>PRAVEEN KUMAR
Employee</t>
        </is>
      </c>
      <c r="B23" s="38" t="inlineStr">
        <is>
          <t>-</t>
        </is>
      </c>
      <c r="C23" s="50" t="inlineStr">
        <is>
          <t>HO</t>
        </is>
      </c>
      <c r="D23" s="38" t="inlineStr">
        <is>
          <t>-</t>
        </is>
      </c>
      <c r="E23" s="38" t="inlineStr">
        <is>
          <t>-</t>
        </is>
      </c>
      <c r="F23" s="37" t="inlineStr">
        <is>
          <t>WO</t>
        </is>
      </c>
      <c r="G23" s="38" t="inlineStr">
        <is>
          <t>-</t>
        </is>
      </c>
      <c r="H23" s="38" t="inlineStr">
        <is>
          <t>-</t>
        </is>
      </c>
      <c r="I23" s="38" t="inlineStr">
        <is>
          <t>-</t>
        </is>
      </c>
      <c r="J23" s="38" t="inlineStr">
        <is>
          <t>-</t>
        </is>
      </c>
      <c r="K23" s="38" t="inlineStr">
        <is>
          <t>-</t>
        </is>
      </c>
      <c r="L23" s="38" t="inlineStr">
        <is>
          <t>-</t>
        </is>
      </c>
      <c r="M23" s="37" t="inlineStr">
        <is>
          <t>WO</t>
        </is>
      </c>
      <c r="N23" s="38" t="inlineStr">
        <is>
          <t>-</t>
        </is>
      </c>
      <c r="O23" s="38" t="inlineStr">
        <is>
          <t>-</t>
        </is>
      </c>
      <c r="P23" s="36" t="inlineStr">
        <is>
          <t>P</t>
        </is>
      </c>
      <c r="Q23" s="36" t="inlineStr">
        <is>
          <t>P</t>
        </is>
      </c>
      <c r="R23" s="41" t="inlineStr">
        <is>
          <t>CL</t>
        </is>
      </c>
      <c r="S23" s="36" t="inlineStr">
        <is>
          <t>P</t>
        </is>
      </c>
      <c r="T23" s="37" t="inlineStr">
        <is>
          <t>WO</t>
        </is>
      </c>
      <c r="U23" s="36" t="inlineStr">
        <is>
          <t>P</t>
        </is>
      </c>
      <c r="V23" s="36" t="inlineStr">
        <is>
          <t>P</t>
        </is>
      </c>
      <c r="W23" s="36" t="inlineStr">
        <is>
          <t>P</t>
        </is>
      </c>
      <c r="X23" s="36" t="inlineStr">
        <is>
          <t>P</t>
        </is>
      </c>
      <c r="Y23" s="43" t="inlineStr">
        <is>
          <t>CF</t>
        </is>
      </c>
      <c r="Z23" s="36" t="inlineStr">
        <is>
          <t>P</t>
        </is>
      </c>
      <c r="AA23" s="37" t="inlineStr">
        <is>
          <t>WO</t>
        </is>
      </c>
      <c r="AB23" s="36" t="inlineStr">
        <is>
          <t>P</t>
        </is>
      </c>
      <c r="AC23" s="36" t="inlineStr">
        <is>
          <t>P</t>
        </is>
      </c>
      <c r="AD23" s="38" t="inlineStr">
        <is>
          <t>-</t>
        </is>
      </c>
      <c r="AE23" s="38" t="inlineStr">
        <is>
          <t>-</t>
        </is>
      </c>
      <c r="AF23" s="38" t="inlineStr">
        <is>
          <t>-</t>
        </is>
      </c>
      <c r="AG23" s="39">
        <f>COUNTIF(B23:AF23, "P")</f>
        <v/>
      </c>
      <c r="AH23" s="15">
        <f>COUNTIF(B23:AF23, "CL")</f>
        <v/>
      </c>
      <c r="AI23" s="16">
        <f>COUNTIF(B23:AF23, "L")</f>
        <v/>
      </c>
      <c r="AJ23" s="17">
        <f>COUNTIF(B23:AF23, "WO")</f>
        <v/>
      </c>
      <c r="AK23" s="14">
        <f>COUNTIF(B23:AF23, "HO")</f>
        <v/>
      </c>
      <c r="AL23" s="18">
        <f>COUNTIF(B23:AF23, "CF")</f>
        <v/>
      </c>
      <c r="AM23" s="19">
        <f>AG23+AH23+AI23+AL23</f>
        <v/>
      </c>
      <c r="AN23" s="20">
        <f>IF(AM23&gt;0, AG23/AM23, 0)</f>
        <v/>
      </c>
    </row>
    <row r="24" ht="32" customHeight="1">
      <c r="A24" s="40" t="inlineStr">
        <is>
          <t>SAI KUMAR
Employee</t>
        </is>
      </c>
      <c r="B24" s="38" t="inlineStr">
        <is>
          <t>-</t>
        </is>
      </c>
      <c r="C24" s="38" t="inlineStr">
        <is>
          <t>-</t>
        </is>
      </c>
      <c r="D24" s="38" t="inlineStr">
        <is>
          <t>-</t>
        </is>
      </c>
      <c r="E24" s="38" t="inlineStr">
        <is>
          <t>-</t>
        </is>
      </c>
      <c r="F24" s="38" t="inlineStr">
        <is>
          <t>-</t>
        </is>
      </c>
      <c r="G24" s="38" t="inlineStr">
        <is>
          <t>-</t>
        </is>
      </c>
      <c r="H24" s="38" t="inlineStr">
        <is>
          <t>-</t>
        </is>
      </c>
      <c r="I24" s="38" t="inlineStr">
        <is>
          <t>-</t>
        </is>
      </c>
      <c r="J24" s="38" t="inlineStr">
        <is>
          <t>-</t>
        </is>
      </c>
      <c r="K24" s="38" t="inlineStr">
        <is>
          <t>-</t>
        </is>
      </c>
      <c r="L24" s="38" t="inlineStr">
        <is>
          <t>-</t>
        </is>
      </c>
      <c r="M24" s="38" t="inlineStr">
        <is>
          <t>-</t>
        </is>
      </c>
      <c r="N24" s="38" t="inlineStr">
        <is>
          <t>-</t>
        </is>
      </c>
      <c r="O24" s="38" t="inlineStr">
        <is>
          <t>-</t>
        </is>
      </c>
      <c r="P24" s="38" t="inlineStr">
        <is>
          <t>-</t>
        </is>
      </c>
      <c r="Q24" s="38" t="inlineStr">
        <is>
          <t>-</t>
        </is>
      </c>
      <c r="R24" s="38" t="inlineStr">
        <is>
          <t>-</t>
        </is>
      </c>
      <c r="S24" s="38" t="inlineStr">
        <is>
          <t>-</t>
        </is>
      </c>
      <c r="T24" s="38" t="inlineStr">
        <is>
          <t>-</t>
        </is>
      </c>
      <c r="U24" s="38" t="inlineStr">
        <is>
          <t>-</t>
        </is>
      </c>
      <c r="V24" s="38" t="inlineStr">
        <is>
          <t>-</t>
        </is>
      </c>
      <c r="W24" s="38" t="inlineStr">
        <is>
          <t>-</t>
        </is>
      </c>
      <c r="X24" s="38" t="inlineStr">
        <is>
          <t>-</t>
        </is>
      </c>
      <c r="Y24" s="38" t="inlineStr">
        <is>
          <t>-</t>
        </is>
      </c>
      <c r="Z24" s="38" t="inlineStr">
        <is>
          <t>-</t>
        </is>
      </c>
      <c r="AA24" s="38" t="inlineStr">
        <is>
          <t>-</t>
        </is>
      </c>
      <c r="AB24" s="38" t="inlineStr">
        <is>
          <t>-</t>
        </is>
      </c>
      <c r="AC24" s="38" t="inlineStr">
        <is>
          <t>-</t>
        </is>
      </c>
      <c r="AD24" s="38" t="inlineStr">
        <is>
          <t>-</t>
        </is>
      </c>
      <c r="AE24" s="38" t="inlineStr">
        <is>
          <t>-</t>
        </is>
      </c>
      <c r="AF24" s="38" t="inlineStr">
        <is>
          <t>-</t>
        </is>
      </c>
      <c r="AG24" s="39">
        <f>COUNTIF(B24:AF24, "P")</f>
        <v/>
      </c>
      <c r="AH24" s="15">
        <f>COUNTIF(B24:AF24, "CL")</f>
        <v/>
      </c>
      <c r="AI24" s="16">
        <f>COUNTIF(B24:AF24, "L")</f>
        <v/>
      </c>
      <c r="AJ24" s="17">
        <f>COUNTIF(B24:AF24, "WO")</f>
        <v/>
      </c>
      <c r="AK24" s="14">
        <f>COUNTIF(B24:AF24, "HO")</f>
        <v/>
      </c>
      <c r="AL24" s="18">
        <f>COUNTIF(B24:AF24, "CF")</f>
        <v/>
      </c>
      <c r="AM24" s="19">
        <f>AG24+AH24+AI24+AL24</f>
        <v/>
      </c>
      <c r="AN24" s="20">
        <f>IF(AM24&gt;0, AG24/AM24, 0)</f>
        <v/>
      </c>
    </row>
    <row r="25" ht="32" customHeight="1">
      <c r="A25" s="35" t="inlineStr">
        <is>
          <t>VAIDEHI
Employee</t>
        </is>
      </c>
      <c r="B25" s="38" t="inlineStr">
        <is>
          <t>-</t>
        </is>
      </c>
      <c r="C25" s="38" t="inlineStr">
        <is>
          <t>-</t>
        </is>
      </c>
      <c r="D25" s="38" t="inlineStr">
        <is>
          <t>-</t>
        </is>
      </c>
      <c r="E25" s="38" t="inlineStr">
        <is>
          <t>-</t>
        </is>
      </c>
      <c r="F25" s="38" t="inlineStr">
        <is>
          <t>-</t>
        </is>
      </c>
      <c r="G25" s="38" t="inlineStr">
        <is>
          <t>-</t>
        </is>
      </c>
      <c r="H25" s="38" t="inlineStr">
        <is>
          <t>-</t>
        </is>
      </c>
      <c r="I25" s="38" t="inlineStr">
        <is>
          <t>-</t>
        </is>
      </c>
      <c r="J25" s="38" t="inlineStr">
        <is>
          <t>-</t>
        </is>
      </c>
      <c r="K25" s="38" t="inlineStr">
        <is>
          <t>-</t>
        </is>
      </c>
      <c r="L25" s="38" t="inlineStr">
        <is>
          <t>-</t>
        </is>
      </c>
      <c r="M25" s="38" t="inlineStr">
        <is>
          <t>-</t>
        </is>
      </c>
      <c r="N25" s="38" t="inlineStr">
        <is>
          <t>-</t>
        </is>
      </c>
      <c r="O25" s="38" t="inlineStr">
        <is>
          <t>-</t>
        </is>
      </c>
      <c r="P25" s="38" t="inlineStr">
        <is>
          <t>-</t>
        </is>
      </c>
      <c r="Q25" s="38" t="inlineStr">
        <is>
          <t>-</t>
        </is>
      </c>
      <c r="R25" s="38" t="inlineStr">
        <is>
          <t>-</t>
        </is>
      </c>
      <c r="S25" s="38" t="inlineStr">
        <is>
          <t>-</t>
        </is>
      </c>
      <c r="T25" s="38" t="inlineStr">
        <is>
          <t>-</t>
        </is>
      </c>
      <c r="U25" s="38" t="inlineStr">
        <is>
          <t>-</t>
        </is>
      </c>
      <c r="V25" s="38" t="inlineStr">
        <is>
          <t>-</t>
        </is>
      </c>
      <c r="W25" s="38" t="inlineStr">
        <is>
          <t>-</t>
        </is>
      </c>
      <c r="X25" s="38" t="inlineStr">
        <is>
          <t>-</t>
        </is>
      </c>
      <c r="Y25" s="38" t="inlineStr">
        <is>
          <t>-</t>
        </is>
      </c>
      <c r="Z25" s="38" t="inlineStr">
        <is>
          <t>-</t>
        </is>
      </c>
      <c r="AA25" s="38" t="inlineStr">
        <is>
          <t>-</t>
        </is>
      </c>
      <c r="AB25" s="38" t="inlineStr">
        <is>
          <t>-</t>
        </is>
      </c>
      <c r="AC25" s="38" t="inlineStr">
        <is>
          <t>-</t>
        </is>
      </c>
      <c r="AD25" s="38" t="inlineStr">
        <is>
          <t>-</t>
        </is>
      </c>
      <c r="AE25" s="38" t="inlineStr">
        <is>
          <t>-</t>
        </is>
      </c>
      <c r="AF25" s="38" t="inlineStr">
        <is>
          <t>-</t>
        </is>
      </c>
      <c r="AG25" s="39">
        <f>COUNTIF(B25:AF25, "P")</f>
        <v/>
      </c>
      <c r="AH25" s="15">
        <f>COUNTIF(B25:AF25, "CL")</f>
        <v/>
      </c>
      <c r="AI25" s="16">
        <f>COUNTIF(B25:AF25, "L")</f>
        <v/>
      </c>
      <c r="AJ25" s="17">
        <f>COUNTIF(B25:AF25, "WO")</f>
        <v/>
      </c>
      <c r="AK25" s="14">
        <f>COUNTIF(B25:AF25, "HO")</f>
        <v/>
      </c>
      <c r="AL25" s="18">
        <f>COUNTIF(B25:AF25, "CF")</f>
        <v/>
      </c>
      <c r="AM25" s="19">
        <f>AG25+AH25+AI25+AL25</f>
        <v/>
      </c>
      <c r="AN25" s="20">
        <f>IF(AM25&gt;0, AG25/AM25, 0)</f>
        <v/>
      </c>
    </row>
    <row r="26" ht="32" customHeight="1">
      <c r="A26" s="40" t="inlineStr">
        <is>
          <t>VAISHNAVI
Employee</t>
        </is>
      </c>
      <c r="B26" s="38" t="inlineStr">
        <is>
          <t>-</t>
        </is>
      </c>
      <c r="C26" s="38" t="inlineStr">
        <is>
          <t>-</t>
        </is>
      </c>
      <c r="D26" s="38" t="inlineStr">
        <is>
          <t>-</t>
        </is>
      </c>
      <c r="E26" s="38" t="inlineStr">
        <is>
          <t>-</t>
        </is>
      </c>
      <c r="F26" s="38" t="inlineStr">
        <is>
          <t>-</t>
        </is>
      </c>
      <c r="G26" s="38" t="inlineStr">
        <is>
          <t>-</t>
        </is>
      </c>
      <c r="H26" s="38" t="inlineStr">
        <is>
          <t>-</t>
        </is>
      </c>
      <c r="I26" s="38" t="inlineStr">
        <is>
          <t>-</t>
        </is>
      </c>
      <c r="J26" s="38" t="inlineStr">
        <is>
          <t>-</t>
        </is>
      </c>
      <c r="K26" s="38" t="inlineStr">
        <is>
          <t>-</t>
        </is>
      </c>
      <c r="L26" s="38" t="inlineStr">
        <is>
          <t>-</t>
        </is>
      </c>
      <c r="M26" s="38" t="inlineStr">
        <is>
          <t>-</t>
        </is>
      </c>
      <c r="N26" s="38" t="inlineStr">
        <is>
          <t>-</t>
        </is>
      </c>
      <c r="O26" s="38" t="inlineStr">
        <is>
          <t>-</t>
        </is>
      </c>
      <c r="P26" s="38" t="inlineStr">
        <is>
          <t>-</t>
        </is>
      </c>
      <c r="Q26" s="38" t="inlineStr">
        <is>
          <t>-</t>
        </is>
      </c>
      <c r="R26" s="38" t="inlineStr">
        <is>
          <t>-</t>
        </is>
      </c>
      <c r="S26" s="38" t="inlineStr">
        <is>
          <t>-</t>
        </is>
      </c>
      <c r="T26" s="38" t="inlineStr">
        <is>
          <t>-</t>
        </is>
      </c>
      <c r="U26" s="38" t="inlineStr">
        <is>
          <t>-</t>
        </is>
      </c>
      <c r="V26" s="38" t="inlineStr">
        <is>
          <t>-</t>
        </is>
      </c>
      <c r="W26" s="38" t="inlineStr">
        <is>
          <t>-</t>
        </is>
      </c>
      <c r="X26" s="38" t="inlineStr">
        <is>
          <t>-</t>
        </is>
      </c>
      <c r="Y26" s="38" t="inlineStr">
        <is>
          <t>-</t>
        </is>
      </c>
      <c r="Z26" s="38" t="inlineStr">
        <is>
          <t>-</t>
        </is>
      </c>
      <c r="AA26" s="38" t="inlineStr">
        <is>
          <t>-</t>
        </is>
      </c>
      <c r="AB26" s="38" t="inlineStr">
        <is>
          <t>-</t>
        </is>
      </c>
      <c r="AC26" s="38" t="inlineStr">
        <is>
          <t>-</t>
        </is>
      </c>
      <c r="AD26" s="38" t="inlineStr">
        <is>
          <t>-</t>
        </is>
      </c>
      <c r="AE26" s="38" t="inlineStr">
        <is>
          <t>-</t>
        </is>
      </c>
      <c r="AF26" s="38" t="inlineStr">
        <is>
          <t>-</t>
        </is>
      </c>
      <c r="AG26" s="39">
        <f>COUNTIF(B26:AF26, "P")</f>
        <v/>
      </c>
      <c r="AH26" s="15">
        <f>COUNTIF(B26:AF26, "CL")</f>
        <v/>
      </c>
      <c r="AI26" s="16">
        <f>COUNTIF(B26:AF26, "L")</f>
        <v/>
      </c>
      <c r="AJ26" s="17">
        <f>COUNTIF(B26:AF26, "WO")</f>
        <v/>
      </c>
      <c r="AK26" s="14">
        <f>COUNTIF(B26:AF26, "HO")</f>
        <v/>
      </c>
      <c r="AL26" s="18">
        <f>COUNTIF(B26:AF26, "CF")</f>
        <v/>
      </c>
      <c r="AM26" s="19">
        <f>AG26+AH26+AI26+AL26</f>
        <v/>
      </c>
      <c r="AN26" s="20">
        <f>IF(AM26&gt;0, AG26/AM26, 0)</f>
        <v/>
      </c>
    </row>
    <row r="27" ht="30" customHeight="1">
      <c r="A27" s="44" t="inlineStr">
        <is>
          <t>Overall Staff Total / Daily Present</t>
        </is>
      </c>
      <c r="B27" s="45">
        <f>COUNTIF(B5:B26, "P")</f>
        <v/>
      </c>
      <c r="C27" s="45">
        <f>COUNTIF(C5:C26, "P")</f>
        <v/>
      </c>
      <c r="D27" s="45">
        <f>COUNTIF(D5:D26, "P")</f>
        <v/>
      </c>
      <c r="E27" s="45">
        <f>COUNTIF(E5:E26, "P")</f>
        <v/>
      </c>
      <c r="F27" s="45">
        <f>COUNTIF(F5:F26, "P")</f>
        <v/>
      </c>
      <c r="G27" s="45">
        <f>COUNTIF(G5:G26, "P")</f>
        <v/>
      </c>
      <c r="H27" s="45">
        <f>COUNTIF(H5:H26, "P")</f>
        <v/>
      </c>
      <c r="I27" s="45">
        <f>COUNTIF(I5:I26, "P")</f>
        <v/>
      </c>
      <c r="J27" s="45">
        <f>COUNTIF(J5:J26, "P")</f>
        <v/>
      </c>
      <c r="K27" s="45">
        <f>COUNTIF(K5:K26, "P")</f>
        <v/>
      </c>
      <c r="L27" s="45">
        <f>COUNTIF(L5:L26, "P")</f>
        <v/>
      </c>
      <c r="M27" s="45">
        <f>COUNTIF(M5:M26, "P")</f>
        <v/>
      </c>
      <c r="N27" s="45">
        <f>COUNTIF(N5:N26, "P")</f>
        <v/>
      </c>
      <c r="O27" s="45">
        <f>COUNTIF(O5:O26, "P")</f>
        <v/>
      </c>
      <c r="P27" s="45">
        <f>COUNTIF(P5:P26, "P")</f>
        <v/>
      </c>
      <c r="Q27" s="45">
        <f>COUNTIF(Q5:Q26, "P")</f>
        <v/>
      </c>
      <c r="R27" s="45">
        <f>COUNTIF(R5:R26, "P")</f>
        <v/>
      </c>
      <c r="S27" s="45">
        <f>COUNTIF(S5:S26, "P")</f>
        <v/>
      </c>
      <c r="T27" s="45">
        <f>COUNTIF(T5:T26, "P")</f>
        <v/>
      </c>
      <c r="U27" s="45">
        <f>COUNTIF(U5:U26, "P")</f>
        <v/>
      </c>
      <c r="V27" s="45">
        <f>COUNTIF(V5:V26, "P")</f>
        <v/>
      </c>
      <c r="W27" s="45">
        <f>COUNTIF(W5:W26, "P")</f>
        <v/>
      </c>
      <c r="X27" s="45">
        <f>COUNTIF(X5:X26, "P")</f>
        <v/>
      </c>
      <c r="Y27" s="45">
        <f>COUNTIF(Y5:Y26, "P")</f>
        <v/>
      </c>
      <c r="Z27" s="45">
        <f>COUNTIF(Z5:Z26, "P")</f>
        <v/>
      </c>
      <c r="AA27" s="45">
        <f>COUNTIF(AA5:AA26, "P")</f>
        <v/>
      </c>
      <c r="AB27" s="45">
        <f>COUNTIF(AB5:AB26, "P")</f>
        <v/>
      </c>
      <c r="AC27" s="45">
        <f>COUNTIF(AC5:AC26, "P")</f>
        <v/>
      </c>
      <c r="AD27" s="45">
        <f>COUNTIF(AD5:AD26, "P")</f>
        <v/>
      </c>
      <c r="AE27" s="45">
        <f>COUNTIF(AE5:AE26, "P")</f>
        <v/>
      </c>
      <c r="AF27" s="45">
        <f>COUNTIF(AF5:AF26, "P")</f>
        <v/>
      </c>
      <c r="AG27" s="46">
        <f>SUM(AG5:AG26)</f>
        <v/>
      </c>
      <c r="AH27" s="46">
        <f>SUM(AH5:AH26)</f>
        <v/>
      </c>
      <c r="AI27" s="46">
        <f>SUM(AI5:AI26)</f>
        <v/>
      </c>
      <c r="AJ27" s="46">
        <f>SUM(AJ5:AJ26)</f>
        <v/>
      </c>
      <c r="AK27" s="46">
        <f>SUM(AK5:AK26)</f>
        <v/>
      </c>
      <c r="AL27" s="46">
        <f>SUM(AL5:AL26)</f>
        <v/>
      </c>
      <c r="AM27" s="46">
        <f>SUM(AM5:AM26)</f>
        <v/>
      </c>
      <c r="AN27" s="24">
        <f>IF(AM27&gt;0, AG27/AM27, 0)</f>
        <v/>
      </c>
    </row>
  </sheetData>
  <mergeCells count="2">
    <mergeCell ref="A2:AN2"/>
    <mergeCell ref="A1:A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2026-09-26T19:34:28Z</dcterms:created>
  <dcterms:modified xsi:type="dcterms:W3CDTF">2026-09-26T19:34:29Z</dcterms:modified>
</cp:coreProperties>
</file>