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334155"/>
      <sz val="9.5"/>
    </font>
    <font>
      <name val="Segoe UI"/>
      <b val="1"/>
      <color rgb="00000000"/>
      <sz val="11"/>
    </font>
    <font>
      <name val="Segoe UI"/>
      <b val="1"/>
      <color rgb="00FFFFFF"/>
      <sz val="9.5"/>
    </font>
    <font>
      <name val="Segoe UI"/>
      <b val="1"/>
      <color rgb="00000000"/>
      <sz val="9.5"/>
    </font>
    <font>
      <name val="Segoe UI"/>
      <b val="1"/>
      <color rgb="00172033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color rgb="00CBD5E1"/>
      <sz val="10"/>
    </font>
    <font>
      <name val="Segoe UI"/>
      <b val="1"/>
      <color rgb="001E3A8A"/>
      <sz val="10"/>
    </font>
    <font>
      <name val="Segoe UI"/>
      <b val="1"/>
      <color rgb="000E7490"/>
      <sz val="10"/>
    </font>
    <font>
      <name val="Segoe UI"/>
      <b val="1"/>
      <color rgb="00B91C1C"/>
      <sz val="10"/>
    </font>
    <font>
      <name val="Segoe UI"/>
      <b val="1"/>
      <color rgb="00581C87"/>
      <sz val="10"/>
    </font>
    <font>
      <name val="Segoe UI"/>
      <b val="1"/>
      <color rgb="0015803D"/>
      <sz val="10"/>
    </font>
    <font>
      <name val="Segoe UI"/>
      <b val="1"/>
      <color rgb="00BE185D"/>
      <sz val="10"/>
    </font>
    <font>
      <name val="Segoe UI"/>
      <b val="1"/>
      <color rgb="001E40AF"/>
      <sz val="10.5"/>
    </font>
    <font>
      <name val="Segoe UI"/>
      <b val="1"/>
      <color rgb="001E293B"/>
      <sz val="10"/>
    </font>
    <font>
      <name val="Segoe UI"/>
      <b val="1"/>
      <color rgb="0015803D"/>
      <sz val="9.5"/>
    </font>
    <font>
      <name val="Segoe UI"/>
      <b val="1"/>
      <color rgb="001E3A8A"/>
      <sz val="11"/>
    </font>
  </fonts>
  <fills count="23">
    <fill>
      <patternFill/>
    </fill>
    <fill>
      <patternFill patternType="gray125"/>
    </fill>
    <fill>
      <patternFill patternType="solid">
        <fgColor rgb="001557C0"/>
        <bgColor rgb="001557C0"/>
      </patternFill>
    </fill>
    <fill>
      <patternFill patternType="solid">
        <fgColor rgb="00EDF4FB"/>
        <bgColor rgb="00EDF4FB"/>
      </patternFill>
    </fill>
    <fill>
      <patternFill patternType="solid">
        <fgColor rgb="0000FFFF"/>
        <bgColor rgb="0000FFFF"/>
      </patternFill>
    </fill>
    <fill>
      <patternFill patternType="solid">
        <fgColor rgb="003F78C9"/>
        <bgColor rgb="003F78C9"/>
      </patternFill>
    </fill>
    <fill>
      <patternFill patternType="solid">
        <fgColor rgb="00B6D7A8"/>
        <bgColor rgb="00B6D7A8"/>
      </patternFill>
    </fill>
    <fill>
      <patternFill patternType="solid">
        <fgColor rgb="004B9AA7"/>
        <bgColor rgb="004B9AA7"/>
      </patternFill>
    </fill>
    <fill>
      <patternFill patternType="solid">
        <fgColor rgb="00FF0000"/>
        <bgColor rgb="00FF0000"/>
      </patternFill>
    </fill>
    <fill>
      <patternFill patternType="solid">
        <fgColor rgb="0074105A"/>
        <bgColor rgb="0074105A"/>
      </patternFill>
    </fill>
    <fill>
      <patternFill patternType="solid">
        <fgColor rgb="00D9EAD3"/>
        <bgColor rgb="00D9EAD3"/>
      </patternFill>
    </fill>
    <fill>
      <patternFill patternType="solid">
        <fgColor rgb="00B44F82"/>
        <bgColor rgb="00B44F82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  <fill>
      <patternFill patternType="solid">
        <fgColor rgb="00ECFEFF"/>
        <bgColor rgb="00ECFEFF"/>
      </patternFill>
    </fill>
    <fill>
      <patternFill patternType="solid">
        <fgColor rgb="00FEF2F2"/>
        <bgColor rgb="00FEF2F2"/>
      </patternFill>
    </fill>
    <fill>
      <patternFill patternType="solid">
        <fgColor rgb="00FAF5FF"/>
        <bgColor rgb="00FAF5FF"/>
      </patternFill>
    </fill>
    <fill>
      <patternFill patternType="solid">
        <fgColor rgb="00FDF2F8"/>
        <bgColor rgb="00FDF2F8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BFDBFE"/>
        <bgColor rgb="00BFDB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5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164" fontId="16" fillId="1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left" vertical="center" wrapText="1" indent="1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17" fillId="21" borderId="1" applyAlignment="1" pivotButton="0" quotePrefix="0" xfId="0">
      <alignment horizontal="left" vertical="center" indent="1"/>
    </xf>
    <xf numFmtId="0" fontId="18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164" fontId="19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1" t="inlineStr">
        <is>
          <t>VASUS ATTENDANCE TRACKER — AUGUST 2026 (RANKED IN DESCENDING ORDER)</t>
        </is>
      </c>
    </row>
    <row r="2" ht="24" customHeight="1">
      <c r="A2" s="2" t="inlineStr">
        <is>
          <t>Doctors &amp; Employees ranked in descending order separately  |  [P] Present (Green)  [CL] Casual Leave (Teal)  [L] Leave (Red)  [WO] Week Off (Purple)  [CF] Comp Off (Pink)</t>
        </is>
      </c>
    </row>
    <row r="3" ht="10" customHeight="1"/>
    <row r="4" ht="36" customHeight="1">
      <c r="A4" s="3" t="inlineStr">
        <is>
          <t>Employee / Doctor</t>
        </is>
      </c>
      <c r="B4" s="4" t="inlineStr">
        <is>
          <t>1
Sat</t>
        </is>
      </c>
      <c r="C4" s="4" t="inlineStr">
        <is>
          <t>2
Sun</t>
        </is>
      </c>
      <c r="D4" s="4" t="inlineStr">
        <is>
          <t>3
Mon</t>
        </is>
      </c>
      <c r="E4" s="4" t="inlineStr">
        <is>
          <t>4
Tue</t>
        </is>
      </c>
      <c r="F4" s="4" t="inlineStr">
        <is>
          <t>5
Wed</t>
        </is>
      </c>
      <c r="G4" s="4" t="inlineStr">
        <is>
          <t>6
Thu</t>
        </is>
      </c>
      <c r="H4" s="4" t="inlineStr">
        <is>
          <t>7
Fri</t>
        </is>
      </c>
      <c r="I4" s="4" t="inlineStr">
        <is>
          <t>8
Sat</t>
        </is>
      </c>
      <c r="J4" s="4" t="inlineStr">
        <is>
          <t>9
Sun</t>
        </is>
      </c>
      <c r="K4" s="4" t="inlineStr">
        <is>
          <t>10
Mon</t>
        </is>
      </c>
      <c r="L4" s="4" t="inlineStr">
        <is>
          <t>11
Tue</t>
        </is>
      </c>
      <c r="M4" s="4" t="inlineStr">
        <is>
          <t>12
Wed</t>
        </is>
      </c>
      <c r="N4" s="4" t="inlineStr">
        <is>
          <t>13
Thu</t>
        </is>
      </c>
      <c r="O4" s="4" t="inlineStr">
        <is>
          <t>14
Fri</t>
        </is>
      </c>
      <c r="P4" s="4" t="inlineStr">
        <is>
          <t>15
Sat</t>
        </is>
      </c>
      <c r="Q4" s="4" t="inlineStr">
        <is>
          <t>16
Sun</t>
        </is>
      </c>
      <c r="R4" s="4" t="inlineStr">
        <is>
          <t>17
Mon</t>
        </is>
      </c>
      <c r="S4" s="4" t="inlineStr">
        <is>
          <t>18
Tue</t>
        </is>
      </c>
      <c r="T4" s="4" t="inlineStr">
        <is>
          <t>19
Wed</t>
        </is>
      </c>
      <c r="U4" s="4" t="inlineStr">
        <is>
          <t>20
Thu</t>
        </is>
      </c>
      <c r="V4" s="4" t="inlineStr">
        <is>
          <t>21
Fri</t>
        </is>
      </c>
      <c r="W4" s="4" t="inlineStr">
        <is>
          <t>22
Sat</t>
        </is>
      </c>
      <c r="X4" s="4" t="inlineStr">
        <is>
          <t>23
Sun</t>
        </is>
      </c>
      <c r="Y4" s="4" t="inlineStr">
        <is>
          <t>24
Mon</t>
        </is>
      </c>
      <c r="Z4" s="4" t="inlineStr">
        <is>
          <t>25
Tue</t>
        </is>
      </c>
      <c r="AA4" s="4" t="inlineStr">
        <is>
          <t>26
Wed</t>
        </is>
      </c>
      <c r="AB4" s="4" t="inlineStr">
        <is>
          <t>27
Thu</t>
        </is>
      </c>
      <c r="AC4" s="4" t="inlineStr">
        <is>
          <t>28
Fri</t>
        </is>
      </c>
      <c r="AD4" s="4" t="inlineStr">
        <is>
          <t>29
Sat</t>
        </is>
      </c>
      <c r="AE4" s="4" t="inlineStr">
        <is>
          <t>30
Sun</t>
        </is>
      </c>
      <c r="AF4" s="4" t="inlineStr">
        <is>
          <t>31
Mon</t>
        </is>
      </c>
      <c r="AG4" s="5" t="inlineStr">
        <is>
          <t>P</t>
        </is>
      </c>
      <c r="AH4" s="6" t="inlineStr">
        <is>
          <t>CL</t>
        </is>
      </c>
      <c r="AI4" s="7" t="inlineStr">
        <is>
          <t>L</t>
        </is>
      </c>
      <c r="AJ4" s="8" t="inlineStr">
        <is>
          <t>WO</t>
        </is>
      </c>
      <c r="AK4" s="9" t="inlineStr">
        <is>
          <t>HO</t>
        </is>
      </c>
      <c r="AL4" s="10" t="inlineStr">
        <is>
          <t>CF</t>
        </is>
      </c>
      <c r="AM4" s="4" t="inlineStr">
        <is>
          <t>Working
Days</t>
        </is>
      </c>
      <c r="AN4" s="11" t="inlineStr">
        <is>
          <t>Attendance
%</t>
        </is>
      </c>
    </row>
    <row r="5" ht="32" customHeight="1">
      <c r="A5" s="12" t="inlineStr">
        <is>
          <t>DR PRANAY
Doctor</t>
        </is>
      </c>
      <c r="B5" s="13" t="inlineStr">
        <is>
          <t>P</t>
        </is>
      </c>
      <c r="C5" s="13" t="inlineStr">
        <is>
          <t>P</t>
        </is>
      </c>
      <c r="D5" s="13" t="inlineStr">
        <is>
          <t>P</t>
        </is>
      </c>
      <c r="E5" s="13" t="inlineStr">
        <is>
          <t>P</t>
        </is>
      </c>
      <c r="F5" s="13" t="inlineStr">
        <is>
          <t>P</t>
        </is>
      </c>
      <c r="G5" s="13" t="inlineStr">
        <is>
          <t>P</t>
        </is>
      </c>
      <c r="H5" s="13" t="inlineStr">
        <is>
          <t>P</t>
        </is>
      </c>
      <c r="I5" s="14" t="inlineStr">
        <is>
          <t>WO</t>
        </is>
      </c>
      <c r="J5" s="13" t="inlineStr">
        <is>
          <t>P</t>
        </is>
      </c>
      <c r="K5" s="13" t="inlineStr">
        <is>
          <t>P</t>
        </is>
      </c>
      <c r="L5" s="13" t="inlineStr">
        <is>
          <t>P</t>
        </is>
      </c>
      <c r="M5" s="13" t="inlineStr">
        <is>
          <t>P</t>
        </is>
      </c>
      <c r="N5" s="13" t="inlineStr">
        <is>
          <t>P</t>
        </is>
      </c>
      <c r="O5" s="13" t="inlineStr">
        <is>
          <t>P</t>
        </is>
      </c>
      <c r="P5" s="14" t="inlineStr">
        <is>
          <t>WO</t>
        </is>
      </c>
      <c r="Q5" s="13" t="inlineStr">
        <is>
          <t>P</t>
        </is>
      </c>
      <c r="R5" s="13" t="inlineStr">
        <is>
          <t>P</t>
        </is>
      </c>
      <c r="S5" s="13" t="inlineStr">
        <is>
          <t>P</t>
        </is>
      </c>
      <c r="T5" s="13" t="inlineStr">
        <is>
          <t>P</t>
        </is>
      </c>
      <c r="U5" s="13" t="inlineStr">
        <is>
          <t>P</t>
        </is>
      </c>
      <c r="V5" s="13" t="inlineStr">
        <is>
          <t>P</t>
        </is>
      </c>
      <c r="W5" s="14" t="inlineStr">
        <is>
          <t>WO</t>
        </is>
      </c>
      <c r="X5" s="13" t="inlineStr">
        <is>
          <t>P</t>
        </is>
      </c>
      <c r="Y5" s="13" t="inlineStr">
        <is>
          <t>P</t>
        </is>
      </c>
      <c r="Z5" s="13" t="inlineStr">
        <is>
          <t>P</t>
        </is>
      </c>
      <c r="AA5" s="13" t="inlineStr">
        <is>
          <t>P</t>
        </is>
      </c>
      <c r="AB5" s="13" t="inlineStr">
        <is>
          <t>P</t>
        </is>
      </c>
      <c r="AC5" s="13" t="inlineStr">
        <is>
          <t>P</t>
        </is>
      </c>
      <c r="AD5" s="14" t="inlineStr">
        <is>
          <t>WO</t>
        </is>
      </c>
      <c r="AE5" s="13" t="inlineStr">
        <is>
          <t>P</t>
        </is>
      </c>
      <c r="AF5" s="15" t="inlineStr">
        <is>
          <t>-</t>
        </is>
      </c>
      <c r="AG5" s="16">
        <f>COUNTIF(B5:AF5, "P")</f>
        <v/>
      </c>
      <c r="AH5" s="17">
        <f>COUNTIF(B5:AF5, "CL")</f>
        <v/>
      </c>
      <c r="AI5" s="18">
        <f>COUNTIF(B5:AF5, "L")</f>
        <v/>
      </c>
      <c r="AJ5" s="19">
        <f>COUNTIF(B5:AF5, "WO")</f>
        <v/>
      </c>
      <c r="AK5" s="20">
        <f>COUNTIF(B5:AF5, "HO")</f>
        <v/>
      </c>
      <c r="AL5" s="21">
        <f>COUNTIF(B5:AF5, "CF")</f>
        <v/>
      </c>
      <c r="AM5" s="22">
        <f>AG5+AH5+AI5+AL5</f>
        <v/>
      </c>
      <c r="AN5" s="23">
        <f>IF(AM5&gt;0, AG5/AM5, 0)</f>
        <v/>
      </c>
    </row>
    <row r="6" ht="32" customHeight="1">
      <c r="A6" s="24" t="inlineStr">
        <is>
          <t>DR CHINJU
Doctor</t>
        </is>
      </c>
      <c r="B6" s="13" t="inlineStr">
        <is>
          <t>P</t>
        </is>
      </c>
      <c r="C6" s="14" t="inlineStr">
        <is>
          <t>WO</t>
        </is>
      </c>
      <c r="D6" s="13" t="inlineStr">
        <is>
          <t>P</t>
        </is>
      </c>
      <c r="E6" s="13" t="inlineStr">
        <is>
          <t>P</t>
        </is>
      </c>
      <c r="F6" s="13" t="inlineStr">
        <is>
          <t>P</t>
        </is>
      </c>
      <c r="G6" s="13" t="inlineStr">
        <is>
          <t>P</t>
        </is>
      </c>
      <c r="H6" s="13" t="inlineStr">
        <is>
          <t>P</t>
        </is>
      </c>
      <c r="I6" s="13" t="inlineStr">
        <is>
          <t>P</t>
        </is>
      </c>
      <c r="J6" s="14" t="inlineStr">
        <is>
          <t>WO</t>
        </is>
      </c>
      <c r="K6" s="13" t="inlineStr">
        <is>
          <t>P</t>
        </is>
      </c>
      <c r="L6" s="13" t="inlineStr">
        <is>
          <t>P</t>
        </is>
      </c>
      <c r="M6" s="13" t="inlineStr">
        <is>
          <t>P</t>
        </is>
      </c>
      <c r="N6" s="13" t="inlineStr">
        <is>
          <t>P</t>
        </is>
      </c>
      <c r="O6" s="13" t="inlineStr">
        <is>
          <t>P</t>
        </is>
      </c>
      <c r="P6" s="13" t="inlineStr">
        <is>
          <t>P</t>
        </is>
      </c>
      <c r="Q6" s="14" t="inlineStr">
        <is>
          <t>WO</t>
        </is>
      </c>
      <c r="R6" s="13" t="inlineStr">
        <is>
          <t>P</t>
        </is>
      </c>
      <c r="S6" s="13" t="inlineStr">
        <is>
          <t>P</t>
        </is>
      </c>
      <c r="T6" s="13" t="inlineStr">
        <is>
          <t>P</t>
        </is>
      </c>
      <c r="U6" s="13" t="inlineStr">
        <is>
          <t>P</t>
        </is>
      </c>
      <c r="V6" s="13" t="inlineStr">
        <is>
          <t>P</t>
        </is>
      </c>
      <c r="W6" s="13" t="inlineStr">
        <is>
          <t>P</t>
        </is>
      </c>
      <c r="X6" s="14" t="inlineStr">
        <is>
          <t>WO</t>
        </is>
      </c>
      <c r="Y6" s="13" t="inlineStr">
        <is>
          <t>P</t>
        </is>
      </c>
      <c r="Z6" s="13" t="inlineStr">
        <is>
          <t>P</t>
        </is>
      </c>
      <c r="AA6" s="13" t="inlineStr">
        <is>
          <t>P</t>
        </is>
      </c>
      <c r="AB6" s="13" t="inlineStr">
        <is>
          <t>P</t>
        </is>
      </c>
      <c r="AC6" s="13" t="inlineStr">
        <is>
          <t>P</t>
        </is>
      </c>
      <c r="AD6" s="13" t="inlineStr">
        <is>
          <t>P</t>
        </is>
      </c>
      <c r="AE6" s="14" t="inlineStr">
        <is>
          <t>WO</t>
        </is>
      </c>
      <c r="AF6" s="15" t="inlineStr">
        <is>
          <t>-</t>
        </is>
      </c>
      <c r="AG6" s="16">
        <f>COUNTIF(B6:AF6, "P")</f>
        <v/>
      </c>
      <c r="AH6" s="17">
        <f>COUNTIF(B6:AF6, "CL")</f>
        <v/>
      </c>
      <c r="AI6" s="18">
        <f>COUNTIF(B6:AF6, "L")</f>
        <v/>
      </c>
      <c r="AJ6" s="19">
        <f>COUNTIF(B6:AF6, "WO")</f>
        <v/>
      </c>
      <c r="AK6" s="20">
        <f>COUNTIF(B6:AF6, "HO")</f>
        <v/>
      </c>
      <c r="AL6" s="21">
        <f>COUNTIF(B6:AF6, "CF")</f>
        <v/>
      </c>
      <c r="AM6" s="22">
        <f>AG6+AH6+AI6+AL6</f>
        <v/>
      </c>
      <c r="AN6" s="23">
        <f>IF(AM6&gt;0, AG6/AM6, 0)</f>
        <v/>
      </c>
    </row>
    <row r="7" ht="32" customHeight="1">
      <c r="A7" s="12" t="inlineStr">
        <is>
          <t>DR SUNITHA
Doctor</t>
        </is>
      </c>
      <c r="B7" s="13" t="inlineStr">
        <is>
          <t>P</t>
        </is>
      </c>
      <c r="C7" s="14" t="inlineStr">
        <is>
          <t>WO</t>
        </is>
      </c>
      <c r="D7" s="13" t="inlineStr">
        <is>
          <t>P</t>
        </is>
      </c>
      <c r="E7" s="13" t="inlineStr">
        <is>
          <t>P</t>
        </is>
      </c>
      <c r="F7" s="13" t="inlineStr">
        <is>
          <t>P</t>
        </is>
      </c>
      <c r="G7" s="13" t="inlineStr">
        <is>
          <t>P</t>
        </is>
      </c>
      <c r="H7" s="13" t="inlineStr">
        <is>
          <t>P</t>
        </is>
      </c>
      <c r="I7" s="13" t="inlineStr">
        <is>
          <t>P</t>
        </is>
      </c>
      <c r="J7" s="14" t="inlineStr">
        <is>
          <t>WO</t>
        </is>
      </c>
      <c r="K7" s="13" t="inlineStr">
        <is>
          <t>P</t>
        </is>
      </c>
      <c r="L7" s="13" t="inlineStr">
        <is>
          <t>P</t>
        </is>
      </c>
      <c r="M7" s="13" t="inlineStr">
        <is>
          <t>P</t>
        </is>
      </c>
      <c r="N7" s="13" t="inlineStr">
        <is>
          <t>P</t>
        </is>
      </c>
      <c r="O7" s="13" t="inlineStr">
        <is>
          <t>P</t>
        </is>
      </c>
      <c r="P7" s="13" t="inlineStr">
        <is>
          <t>P</t>
        </is>
      </c>
      <c r="Q7" s="14" t="inlineStr">
        <is>
          <t>WO</t>
        </is>
      </c>
      <c r="R7" s="13" t="inlineStr">
        <is>
          <t>P</t>
        </is>
      </c>
      <c r="S7" s="13" t="inlineStr">
        <is>
          <t>P</t>
        </is>
      </c>
      <c r="T7" s="13" t="inlineStr">
        <is>
          <t>P</t>
        </is>
      </c>
      <c r="U7" s="13" t="inlineStr">
        <is>
          <t>P</t>
        </is>
      </c>
      <c r="V7" s="13" t="inlineStr">
        <is>
          <t>P</t>
        </is>
      </c>
      <c r="W7" s="13" t="inlineStr">
        <is>
          <t>P</t>
        </is>
      </c>
      <c r="X7" s="14" t="inlineStr">
        <is>
          <t>WO</t>
        </is>
      </c>
      <c r="Y7" s="13" t="inlineStr">
        <is>
          <t>P</t>
        </is>
      </c>
      <c r="Z7" s="13" t="inlineStr">
        <is>
          <t>P</t>
        </is>
      </c>
      <c r="AA7" s="13" t="inlineStr">
        <is>
          <t>P</t>
        </is>
      </c>
      <c r="AB7" s="13" t="inlineStr">
        <is>
          <t>P</t>
        </is>
      </c>
      <c r="AC7" s="13" t="inlineStr">
        <is>
          <t>P</t>
        </is>
      </c>
      <c r="AD7" s="13" t="inlineStr">
        <is>
          <t>P</t>
        </is>
      </c>
      <c r="AE7" s="14" t="inlineStr">
        <is>
          <t>WO</t>
        </is>
      </c>
      <c r="AF7" s="15" t="inlineStr">
        <is>
          <t>-</t>
        </is>
      </c>
      <c r="AG7" s="16">
        <f>COUNTIF(B7:AF7, "P")</f>
        <v/>
      </c>
      <c r="AH7" s="17">
        <f>COUNTIF(B7:AF7, "CL")</f>
        <v/>
      </c>
      <c r="AI7" s="18">
        <f>COUNTIF(B7:AF7, "L")</f>
        <v/>
      </c>
      <c r="AJ7" s="19">
        <f>COUNTIF(B7:AF7, "WO")</f>
        <v/>
      </c>
      <c r="AK7" s="20">
        <f>COUNTIF(B7:AF7, "HO")</f>
        <v/>
      </c>
      <c r="AL7" s="21">
        <f>COUNTIF(B7:AF7, "CF")</f>
        <v/>
      </c>
      <c r="AM7" s="22">
        <f>AG7+AH7+AI7+AL7</f>
        <v/>
      </c>
      <c r="AN7" s="23">
        <f>IF(AM7&gt;0, AG7/AM7, 0)</f>
        <v/>
      </c>
    </row>
    <row r="8" ht="32" customHeight="1">
      <c r="A8" s="24" t="inlineStr">
        <is>
          <t>DR BINDU
Doctor</t>
        </is>
      </c>
      <c r="B8" s="13" t="inlineStr">
        <is>
          <t>P</t>
        </is>
      </c>
      <c r="C8" s="14" t="inlineStr">
        <is>
          <t>WO</t>
        </is>
      </c>
      <c r="D8" s="13" t="inlineStr">
        <is>
          <t>P</t>
        </is>
      </c>
      <c r="E8" s="13" t="inlineStr">
        <is>
          <t>P</t>
        </is>
      </c>
      <c r="F8" s="13" t="inlineStr">
        <is>
          <t>P</t>
        </is>
      </c>
      <c r="G8" s="13" t="inlineStr">
        <is>
          <t>P</t>
        </is>
      </c>
      <c r="H8" s="13" t="inlineStr">
        <is>
          <t>P</t>
        </is>
      </c>
      <c r="I8" s="13" t="inlineStr">
        <is>
          <t>P</t>
        </is>
      </c>
      <c r="J8" s="14" t="inlineStr">
        <is>
          <t>WO</t>
        </is>
      </c>
      <c r="K8" s="25" t="inlineStr">
        <is>
          <t>CL</t>
        </is>
      </c>
      <c r="L8" s="26" t="inlineStr">
        <is>
          <t>L</t>
        </is>
      </c>
      <c r="M8" s="26" t="inlineStr">
        <is>
          <t>L</t>
        </is>
      </c>
      <c r="N8" s="13" t="inlineStr">
        <is>
          <t>P</t>
        </is>
      </c>
      <c r="O8" s="13" t="inlineStr">
        <is>
          <t>P</t>
        </is>
      </c>
      <c r="P8" s="13" t="inlineStr">
        <is>
          <t>P</t>
        </is>
      </c>
      <c r="Q8" s="14" t="inlineStr">
        <is>
          <t>WO</t>
        </is>
      </c>
      <c r="R8" s="13" t="inlineStr">
        <is>
          <t>P</t>
        </is>
      </c>
      <c r="S8" s="13" t="inlineStr">
        <is>
          <t>P</t>
        </is>
      </c>
      <c r="T8" s="13" t="inlineStr">
        <is>
          <t>P</t>
        </is>
      </c>
      <c r="U8" s="13" t="inlineStr">
        <is>
          <t>P</t>
        </is>
      </c>
      <c r="V8" s="13" t="inlineStr">
        <is>
          <t>P</t>
        </is>
      </c>
      <c r="W8" s="13" t="inlineStr">
        <is>
          <t>P</t>
        </is>
      </c>
      <c r="X8" s="14" t="inlineStr">
        <is>
          <t>WO</t>
        </is>
      </c>
      <c r="Y8" s="13" t="inlineStr">
        <is>
          <t>P</t>
        </is>
      </c>
      <c r="Z8" s="13" t="inlineStr">
        <is>
          <t>P</t>
        </is>
      </c>
      <c r="AA8" s="13" t="inlineStr">
        <is>
          <t>P</t>
        </is>
      </c>
      <c r="AB8" s="13" t="inlineStr">
        <is>
          <t>P</t>
        </is>
      </c>
      <c r="AC8" s="13" t="inlineStr">
        <is>
          <t>P</t>
        </is>
      </c>
      <c r="AD8" s="13" t="inlineStr">
        <is>
          <t>P</t>
        </is>
      </c>
      <c r="AE8" s="14" t="inlineStr">
        <is>
          <t>WO</t>
        </is>
      </c>
      <c r="AF8" s="15" t="inlineStr">
        <is>
          <t>-</t>
        </is>
      </c>
      <c r="AG8" s="16">
        <f>COUNTIF(B8:AF8, "P")</f>
        <v/>
      </c>
      <c r="AH8" s="17">
        <f>COUNTIF(B8:AF8, "CL")</f>
        <v/>
      </c>
      <c r="AI8" s="18">
        <f>COUNTIF(B8:AF8, "L")</f>
        <v/>
      </c>
      <c r="AJ8" s="19">
        <f>COUNTIF(B8:AF8, "WO")</f>
        <v/>
      </c>
      <c r="AK8" s="20">
        <f>COUNTIF(B8:AF8, "HO")</f>
        <v/>
      </c>
      <c r="AL8" s="21">
        <f>COUNTIF(B8:AF8, "CF")</f>
        <v/>
      </c>
      <c r="AM8" s="22">
        <f>AG8+AH8+AI8+AL8</f>
        <v/>
      </c>
      <c r="AN8" s="23">
        <f>IF(AM8&gt;0, AG8/AM8, 0)</f>
        <v/>
      </c>
    </row>
    <row r="9" ht="32" customHeight="1">
      <c r="A9" s="12" t="inlineStr">
        <is>
          <t>DR VARUN
Doctor</t>
        </is>
      </c>
      <c r="B9" s="13" t="inlineStr">
        <is>
          <t>P</t>
        </is>
      </c>
      <c r="C9" s="14" t="inlineStr">
        <is>
          <t>WO</t>
        </is>
      </c>
      <c r="D9" s="13" t="inlineStr">
        <is>
          <t>P</t>
        </is>
      </c>
      <c r="E9" s="13" t="inlineStr">
        <is>
          <t>P</t>
        </is>
      </c>
      <c r="F9" s="13" t="inlineStr">
        <is>
          <t>P</t>
        </is>
      </c>
      <c r="G9" s="13" t="inlineStr">
        <is>
          <t>P</t>
        </is>
      </c>
      <c r="H9" s="13" t="inlineStr">
        <is>
          <t>P</t>
        </is>
      </c>
      <c r="I9" s="13" t="inlineStr">
        <is>
          <t>P</t>
        </is>
      </c>
      <c r="J9" s="14" t="inlineStr">
        <is>
          <t>WO</t>
        </is>
      </c>
      <c r="K9" s="13" t="inlineStr">
        <is>
          <t>P</t>
        </is>
      </c>
      <c r="L9" s="13" t="inlineStr">
        <is>
          <t>P</t>
        </is>
      </c>
      <c r="M9" s="13" t="inlineStr">
        <is>
          <t>P</t>
        </is>
      </c>
      <c r="N9" s="13" t="inlineStr">
        <is>
          <t>P</t>
        </is>
      </c>
      <c r="O9" s="13" t="inlineStr">
        <is>
          <t>P</t>
        </is>
      </c>
      <c r="P9" s="13" t="inlineStr">
        <is>
          <t>P</t>
        </is>
      </c>
      <c r="Q9" s="14" t="inlineStr">
        <is>
          <t>WO</t>
        </is>
      </c>
      <c r="R9" s="25" t="inlineStr">
        <is>
          <t>CL</t>
        </is>
      </c>
      <c r="S9" s="26" t="inlineStr">
        <is>
          <t>L</t>
        </is>
      </c>
      <c r="T9" s="26" t="inlineStr">
        <is>
          <t>L</t>
        </is>
      </c>
      <c r="U9" s="26" t="inlineStr">
        <is>
          <t>L</t>
        </is>
      </c>
      <c r="V9" s="26" t="inlineStr">
        <is>
          <t>L</t>
        </is>
      </c>
      <c r="W9" s="26" t="inlineStr">
        <is>
          <t>L</t>
        </is>
      </c>
      <c r="X9" s="14" t="inlineStr">
        <is>
          <t>WO</t>
        </is>
      </c>
      <c r="Y9" s="26" t="inlineStr">
        <is>
          <t>L</t>
        </is>
      </c>
      <c r="Z9" s="26" t="inlineStr">
        <is>
          <t>L</t>
        </is>
      </c>
      <c r="AA9" s="26" t="inlineStr">
        <is>
          <t>L</t>
        </is>
      </c>
      <c r="AB9" s="26" t="inlineStr">
        <is>
          <t>L</t>
        </is>
      </c>
      <c r="AC9" s="26" t="inlineStr">
        <is>
          <t>L</t>
        </is>
      </c>
      <c r="AD9" s="26" t="inlineStr">
        <is>
          <t>L</t>
        </is>
      </c>
      <c r="AE9" s="14" t="inlineStr">
        <is>
          <t>WO</t>
        </is>
      </c>
      <c r="AF9" s="15" t="inlineStr">
        <is>
          <t>-</t>
        </is>
      </c>
      <c r="AG9" s="16">
        <f>COUNTIF(B9:AF9, "P")</f>
        <v/>
      </c>
      <c r="AH9" s="17">
        <f>COUNTIF(B9:AF9, "CL")</f>
        <v/>
      </c>
      <c r="AI9" s="18">
        <f>COUNTIF(B9:AF9, "L")</f>
        <v/>
      </c>
      <c r="AJ9" s="19">
        <f>COUNTIF(B9:AF9, "WO")</f>
        <v/>
      </c>
      <c r="AK9" s="20">
        <f>COUNTIF(B9:AF9, "HO")</f>
        <v/>
      </c>
      <c r="AL9" s="21">
        <f>COUNTIF(B9:AF9, "CF")</f>
        <v/>
      </c>
      <c r="AM9" s="22">
        <f>AG9+AH9+AI9+AL9</f>
        <v/>
      </c>
      <c r="AN9" s="23">
        <f>IF(AM9&gt;0, AG9/AM9, 0)</f>
        <v/>
      </c>
    </row>
    <row r="10" ht="32" customHeight="1">
      <c r="A10" s="24" t="inlineStr">
        <is>
          <t>NEELIMA
Employee</t>
        </is>
      </c>
      <c r="B10" s="13" t="inlineStr">
        <is>
          <t>P</t>
        </is>
      </c>
      <c r="C10" s="14" t="inlineStr">
        <is>
          <t>WO</t>
        </is>
      </c>
      <c r="D10" s="13" t="inlineStr">
        <is>
          <t>P</t>
        </is>
      </c>
      <c r="E10" s="13" t="inlineStr">
        <is>
          <t>P</t>
        </is>
      </c>
      <c r="F10" s="13" t="inlineStr">
        <is>
          <t>P</t>
        </is>
      </c>
      <c r="G10" s="13" t="inlineStr">
        <is>
          <t>P</t>
        </is>
      </c>
      <c r="H10" s="13" t="inlineStr">
        <is>
          <t>P</t>
        </is>
      </c>
      <c r="I10" s="13" t="inlineStr">
        <is>
          <t>P</t>
        </is>
      </c>
      <c r="J10" s="14" t="inlineStr">
        <is>
          <t>WO</t>
        </is>
      </c>
      <c r="K10" s="13" t="inlineStr">
        <is>
          <t>P</t>
        </is>
      </c>
      <c r="L10" s="13" t="inlineStr">
        <is>
          <t>P</t>
        </is>
      </c>
      <c r="M10" s="13" t="inlineStr">
        <is>
          <t>P</t>
        </is>
      </c>
      <c r="N10" s="13" t="inlineStr">
        <is>
          <t>P</t>
        </is>
      </c>
      <c r="O10" s="13" t="inlineStr">
        <is>
          <t>P</t>
        </is>
      </c>
      <c r="P10" s="13" t="inlineStr">
        <is>
          <t>P</t>
        </is>
      </c>
      <c r="Q10" s="13" t="inlineStr">
        <is>
          <t>P</t>
        </is>
      </c>
      <c r="R10" s="13" t="inlineStr">
        <is>
          <t>P</t>
        </is>
      </c>
      <c r="S10" s="13" t="inlineStr">
        <is>
          <t>P</t>
        </is>
      </c>
      <c r="T10" s="13" t="inlineStr">
        <is>
          <t>P</t>
        </is>
      </c>
      <c r="U10" s="13" t="inlineStr">
        <is>
          <t>P</t>
        </is>
      </c>
      <c r="V10" s="13" t="inlineStr">
        <is>
          <t>P</t>
        </is>
      </c>
      <c r="W10" s="13" t="inlineStr">
        <is>
          <t>P</t>
        </is>
      </c>
      <c r="X10" s="14" t="inlineStr">
        <is>
          <t>WO</t>
        </is>
      </c>
      <c r="Y10" s="13" t="inlineStr">
        <is>
          <t>P</t>
        </is>
      </c>
      <c r="Z10" s="13" t="inlineStr">
        <is>
          <t>P</t>
        </is>
      </c>
      <c r="AA10" s="13" t="inlineStr">
        <is>
          <t>P</t>
        </is>
      </c>
      <c r="AB10" s="13" t="inlineStr">
        <is>
          <t>P</t>
        </is>
      </c>
      <c r="AC10" s="13" t="inlineStr">
        <is>
          <t>P</t>
        </is>
      </c>
      <c r="AD10" s="13" t="inlineStr">
        <is>
          <t>P</t>
        </is>
      </c>
      <c r="AE10" s="14" t="inlineStr">
        <is>
          <t>WO</t>
        </is>
      </c>
      <c r="AF10" s="15" t="inlineStr">
        <is>
          <t>-</t>
        </is>
      </c>
      <c r="AG10" s="16">
        <f>COUNTIF(B10:AF10, "P")</f>
        <v/>
      </c>
      <c r="AH10" s="17">
        <f>COUNTIF(B10:AF10, "CL")</f>
        <v/>
      </c>
      <c r="AI10" s="18">
        <f>COUNTIF(B10:AF10, "L")</f>
        <v/>
      </c>
      <c r="AJ10" s="19">
        <f>COUNTIF(B10:AF10, "WO")</f>
        <v/>
      </c>
      <c r="AK10" s="20">
        <f>COUNTIF(B10:AF10, "HO")</f>
        <v/>
      </c>
      <c r="AL10" s="21">
        <f>COUNTIF(B10:AF10, "CF")</f>
        <v/>
      </c>
      <c r="AM10" s="22">
        <f>AG10+AH10+AI10+AL10</f>
        <v/>
      </c>
      <c r="AN10" s="23">
        <f>IF(AM10&gt;0, AG10/AM10, 0)</f>
        <v/>
      </c>
    </row>
    <row r="11" ht="32" customHeight="1">
      <c r="A11" s="12" t="inlineStr">
        <is>
          <t>RAMESH
Employee</t>
        </is>
      </c>
      <c r="B11" s="13" t="inlineStr">
        <is>
          <t>P</t>
        </is>
      </c>
      <c r="C11" s="14" t="inlineStr">
        <is>
          <t>WO</t>
        </is>
      </c>
      <c r="D11" s="13" t="inlineStr">
        <is>
          <t>P</t>
        </is>
      </c>
      <c r="E11" s="13" t="inlineStr">
        <is>
          <t>P</t>
        </is>
      </c>
      <c r="F11" s="13" t="inlineStr">
        <is>
          <t>P</t>
        </is>
      </c>
      <c r="G11" s="13" t="inlineStr">
        <is>
          <t>P</t>
        </is>
      </c>
      <c r="H11" s="13" t="inlineStr">
        <is>
          <t>P</t>
        </is>
      </c>
      <c r="I11" s="13" t="inlineStr">
        <is>
          <t>P</t>
        </is>
      </c>
      <c r="J11" s="14" t="inlineStr">
        <is>
          <t>WO</t>
        </is>
      </c>
      <c r="K11" s="13" t="inlineStr">
        <is>
          <t>P</t>
        </is>
      </c>
      <c r="L11" s="13" t="inlineStr">
        <is>
          <t>P</t>
        </is>
      </c>
      <c r="M11" s="13" t="inlineStr">
        <is>
          <t>P</t>
        </is>
      </c>
      <c r="N11" s="13" t="inlineStr">
        <is>
          <t>P</t>
        </is>
      </c>
      <c r="O11" s="13" t="inlineStr">
        <is>
          <t>P</t>
        </is>
      </c>
      <c r="P11" s="15" t="inlineStr">
        <is>
          <t>-</t>
        </is>
      </c>
      <c r="Q11" s="14" t="inlineStr">
        <is>
          <t>WO</t>
        </is>
      </c>
      <c r="R11" s="13" t="inlineStr">
        <is>
          <t>P</t>
        </is>
      </c>
      <c r="S11" s="13" t="inlineStr">
        <is>
          <t>P</t>
        </is>
      </c>
      <c r="T11" s="13" t="inlineStr">
        <is>
          <t>P</t>
        </is>
      </c>
      <c r="U11" s="13" t="inlineStr">
        <is>
          <t>P</t>
        </is>
      </c>
      <c r="V11" s="13" t="inlineStr">
        <is>
          <t>P</t>
        </is>
      </c>
      <c r="W11" s="13" t="inlineStr">
        <is>
          <t>P</t>
        </is>
      </c>
      <c r="X11" s="14" t="inlineStr">
        <is>
          <t>WO</t>
        </is>
      </c>
      <c r="Y11" s="13" t="inlineStr">
        <is>
          <t>P</t>
        </is>
      </c>
      <c r="Z11" s="13" t="inlineStr">
        <is>
          <t>P</t>
        </is>
      </c>
      <c r="AA11" s="13" t="inlineStr">
        <is>
          <t>P</t>
        </is>
      </c>
      <c r="AB11" s="13" t="inlineStr">
        <is>
          <t>P</t>
        </is>
      </c>
      <c r="AC11" s="13" t="inlineStr">
        <is>
          <t>P</t>
        </is>
      </c>
      <c r="AD11" s="13" t="inlineStr">
        <is>
          <t>P</t>
        </is>
      </c>
      <c r="AE11" s="14" t="inlineStr">
        <is>
          <t>WO</t>
        </is>
      </c>
      <c r="AF11" s="15" t="inlineStr">
        <is>
          <t>-</t>
        </is>
      </c>
      <c r="AG11" s="16">
        <f>COUNTIF(B11:AF11, "P")</f>
        <v/>
      </c>
      <c r="AH11" s="17">
        <f>COUNTIF(B11:AF11, "CL")</f>
        <v/>
      </c>
      <c r="AI11" s="18">
        <f>COUNTIF(B11:AF11, "L")</f>
        <v/>
      </c>
      <c r="AJ11" s="19">
        <f>COUNTIF(B11:AF11, "WO")</f>
        <v/>
      </c>
      <c r="AK11" s="20">
        <f>COUNTIF(B11:AF11, "HO")</f>
        <v/>
      </c>
      <c r="AL11" s="21">
        <f>COUNTIF(B11:AF11, "CF")</f>
        <v/>
      </c>
      <c r="AM11" s="22">
        <f>AG11+AH11+AI11+AL11</f>
        <v/>
      </c>
      <c r="AN11" s="23">
        <f>IF(AM11&gt;0, AG11/AM11, 0)</f>
        <v/>
      </c>
    </row>
    <row r="12" ht="32" customHeight="1">
      <c r="A12" s="24" t="inlineStr">
        <is>
          <t>SAI KUMAR
Employee</t>
        </is>
      </c>
      <c r="B12" s="13" t="inlineStr">
        <is>
          <t>P</t>
        </is>
      </c>
      <c r="C12" s="14" t="inlineStr">
        <is>
          <t>WO</t>
        </is>
      </c>
      <c r="D12" s="13" t="inlineStr">
        <is>
          <t>P</t>
        </is>
      </c>
      <c r="E12" s="13" t="inlineStr">
        <is>
          <t>P</t>
        </is>
      </c>
      <c r="F12" s="13" t="inlineStr">
        <is>
          <t>P</t>
        </is>
      </c>
      <c r="G12" s="13" t="inlineStr">
        <is>
          <t>P</t>
        </is>
      </c>
      <c r="H12" s="13" t="inlineStr">
        <is>
          <t>P</t>
        </is>
      </c>
      <c r="I12" s="13" t="inlineStr">
        <is>
          <t>P</t>
        </is>
      </c>
      <c r="J12" s="13" t="inlineStr">
        <is>
          <t>P</t>
        </is>
      </c>
      <c r="K12" s="13" t="inlineStr">
        <is>
          <t>P</t>
        </is>
      </c>
      <c r="L12" s="13" t="inlineStr">
        <is>
          <t>P</t>
        </is>
      </c>
      <c r="M12" s="13" t="inlineStr">
        <is>
          <t>P</t>
        </is>
      </c>
      <c r="N12" s="13" t="inlineStr">
        <is>
          <t>P</t>
        </is>
      </c>
      <c r="O12" s="13" t="inlineStr">
        <is>
          <t>P</t>
        </is>
      </c>
      <c r="P12" s="13" t="inlineStr">
        <is>
          <t>P</t>
        </is>
      </c>
      <c r="Q12" s="14" t="inlineStr">
        <is>
          <t>WO</t>
        </is>
      </c>
      <c r="R12" s="13" t="inlineStr">
        <is>
          <t>P</t>
        </is>
      </c>
      <c r="S12" s="13" t="inlineStr">
        <is>
          <t>P</t>
        </is>
      </c>
      <c r="T12" s="13" t="inlineStr">
        <is>
          <t>P</t>
        </is>
      </c>
      <c r="U12" s="13" t="inlineStr">
        <is>
          <t>P</t>
        </is>
      </c>
      <c r="V12" s="13" t="inlineStr">
        <is>
          <t>P</t>
        </is>
      </c>
      <c r="W12" s="13" t="inlineStr">
        <is>
          <t>P</t>
        </is>
      </c>
      <c r="X12" s="14" t="inlineStr">
        <is>
          <t>WO</t>
        </is>
      </c>
      <c r="Y12" s="13" t="inlineStr">
        <is>
          <t>P</t>
        </is>
      </c>
      <c r="Z12" s="13" t="inlineStr">
        <is>
          <t>P</t>
        </is>
      </c>
      <c r="AA12" s="13" t="inlineStr">
        <is>
          <t>P</t>
        </is>
      </c>
      <c r="AB12" s="13" t="inlineStr">
        <is>
          <t>P</t>
        </is>
      </c>
      <c r="AC12" s="25" t="inlineStr">
        <is>
          <t>CL</t>
        </is>
      </c>
      <c r="AD12" s="13" t="inlineStr">
        <is>
          <t>P</t>
        </is>
      </c>
      <c r="AE12" s="14" t="inlineStr">
        <is>
          <t>WO</t>
        </is>
      </c>
      <c r="AF12" s="15" t="inlineStr">
        <is>
          <t>-</t>
        </is>
      </c>
      <c r="AG12" s="16">
        <f>COUNTIF(B12:AF12, "P")</f>
        <v/>
      </c>
      <c r="AH12" s="17">
        <f>COUNTIF(B12:AF12, "CL")</f>
        <v/>
      </c>
      <c r="AI12" s="18">
        <f>COUNTIF(B12:AF12, "L")</f>
        <v/>
      </c>
      <c r="AJ12" s="19">
        <f>COUNTIF(B12:AF12, "WO")</f>
        <v/>
      </c>
      <c r="AK12" s="20">
        <f>COUNTIF(B12:AF12, "HO")</f>
        <v/>
      </c>
      <c r="AL12" s="21">
        <f>COUNTIF(B12:AF12, "CF")</f>
        <v/>
      </c>
      <c r="AM12" s="22">
        <f>AG12+AH12+AI12+AL12</f>
        <v/>
      </c>
      <c r="AN12" s="23">
        <f>IF(AM12&gt;0, AG12/AM12, 0)</f>
        <v/>
      </c>
    </row>
    <row r="13" ht="32" customHeight="1">
      <c r="A13" s="12" t="inlineStr">
        <is>
          <t>CHANIKYA
Employee</t>
        </is>
      </c>
      <c r="B13" s="13" t="inlineStr">
        <is>
          <t>P</t>
        </is>
      </c>
      <c r="C13" s="14" t="inlineStr">
        <is>
          <t>WO</t>
        </is>
      </c>
      <c r="D13" s="13" t="inlineStr">
        <is>
          <t>P</t>
        </is>
      </c>
      <c r="E13" s="25" t="inlineStr">
        <is>
          <t>CL</t>
        </is>
      </c>
      <c r="F13" s="13" t="inlineStr">
        <is>
          <t>P</t>
        </is>
      </c>
      <c r="G13" s="13" t="inlineStr">
        <is>
          <t>P</t>
        </is>
      </c>
      <c r="H13" s="13" t="inlineStr">
        <is>
          <t>P</t>
        </is>
      </c>
      <c r="I13" s="13" t="inlineStr">
        <is>
          <t>P</t>
        </is>
      </c>
      <c r="J13" s="14" t="inlineStr">
        <is>
          <t>WO</t>
        </is>
      </c>
      <c r="K13" s="13" t="inlineStr">
        <is>
          <t>P</t>
        </is>
      </c>
      <c r="L13" s="13" t="inlineStr">
        <is>
          <t>P</t>
        </is>
      </c>
      <c r="M13" s="13" t="inlineStr">
        <is>
          <t>P</t>
        </is>
      </c>
      <c r="N13" s="13" t="inlineStr">
        <is>
          <t>P</t>
        </is>
      </c>
      <c r="O13" s="13" t="inlineStr">
        <is>
          <t>P</t>
        </is>
      </c>
      <c r="P13" s="15" t="inlineStr">
        <is>
          <t>-</t>
        </is>
      </c>
      <c r="Q13" s="14" t="inlineStr">
        <is>
          <t>WO</t>
        </is>
      </c>
      <c r="R13" s="13" t="inlineStr">
        <is>
          <t>P</t>
        </is>
      </c>
      <c r="S13" s="13" t="inlineStr">
        <is>
          <t>P</t>
        </is>
      </c>
      <c r="T13" s="13" t="inlineStr">
        <is>
          <t>P</t>
        </is>
      </c>
      <c r="U13" s="13" t="inlineStr">
        <is>
          <t>P</t>
        </is>
      </c>
      <c r="V13" s="13" t="inlineStr">
        <is>
          <t>P</t>
        </is>
      </c>
      <c r="W13" s="13" t="inlineStr">
        <is>
          <t>P</t>
        </is>
      </c>
      <c r="X13" s="13" t="inlineStr">
        <is>
          <t>P</t>
        </is>
      </c>
      <c r="Y13" s="13" t="inlineStr">
        <is>
          <t>P</t>
        </is>
      </c>
      <c r="Z13" s="13" t="inlineStr">
        <is>
          <t>P</t>
        </is>
      </c>
      <c r="AA13" s="13" t="inlineStr">
        <is>
          <t>P</t>
        </is>
      </c>
      <c r="AB13" s="13" t="inlineStr">
        <is>
          <t>P</t>
        </is>
      </c>
      <c r="AC13" s="13" t="inlineStr">
        <is>
          <t>P</t>
        </is>
      </c>
      <c r="AD13" s="13" t="inlineStr">
        <is>
          <t>P</t>
        </is>
      </c>
      <c r="AE13" s="14" t="inlineStr">
        <is>
          <t>WO</t>
        </is>
      </c>
      <c r="AF13" s="15" t="inlineStr">
        <is>
          <t>-</t>
        </is>
      </c>
      <c r="AG13" s="16">
        <f>COUNTIF(B13:AF13, "P")</f>
        <v/>
      </c>
      <c r="AH13" s="17">
        <f>COUNTIF(B13:AF13, "CL")</f>
        <v/>
      </c>
      <c r="AI13" s="18">
        <f>COUNTIF(B13:AF13, "L")</f>
        <v/>
      </c>
      <c r="AJ13" s="19">
        <f>COUNTIF(B13:AF13, "WO")</f>
        <v/>
      </c>
      <c r="AK13" s="20">
        <f>COUNTIF(B13:AF13, "HO")</f>
        <v/>
      </c>
      <c r="AL13" s="21">
        <f>COUNTIF(B13:AF13, "CF")</f>
        <v/>
      </c>
      <c r="AM13" s="22">
        <f>AG13+AH13+AI13+AL13</f>
        <v/>
      </c>
      <c r="AN13" s="23">
        <f>IF(AM13&gt;0, AG13/AM13, 0)</f>
        <v/>
      </c>
    </row>
    <row r="14" ht="32" customHeight="1">
      <c r="A14" s="24" t="inlineStr">
        <is>
          <t>LAXMINARAYANA
Employee</t>
        </is>
      </c>
      <c r="B14" s="13" t="inlineStr">
        <is>
          <t>P</t>
        </is>
      </c>
      <c r="C14" s="14" t="inlineStr">
        <is>
          <t>WO</t>
        </is>
      </c>
      <c r="D14" s="13" t="inlineStr">
        <is>
          <t>P</t>
        </is>
      </c>
      <c r="E14" s="13" t="inlineStr">
        <is>
          <t>P</t>
        </is>
      </c>
      <c r="F14" s="13" t="inlineStr">
        <is>
          <t>P</t>
        </is>
      </c>
      <c r="G14" s="13" t="inlineStr">
        <is>
          <t>P</t>
        </is>
      </c>
      <c r="H14" s="13" t="inlineStr">
        <is>
          <t>P</t>
        </is>
      </c>
      <c r="I14" s="13" t="inlineStr">
        <is>
          <t>P</t>
        </is>
      </c>
      <c r="J14" s="14" t="inlineStr">
        <is>
          <t>WO</t>
        </is>
      </c>
      <c r="K14" s="13" t="inlineStr">
        <is>
          <t>P</t>
        </is>
      </c>
      <c r="L14" s="13" t="inlineStr">
        <is>
          <t>P</t>
        </is>
      </c>
      <c r="M14" s="13" t="inlineStr">
        <is>
          <t>P</t>
        </is>
      </c>
      <c r="N14" s="13" t="inlineStr">
        <is>
          <t>P</t>
        </is>
      </c>
      <c r="O14" s="13" t="inlineStr">
        <is>
          <t>P</t>
        </is>
      </c>
      <c r="P14" s="15" t="inlineStr">
        <is>
          <t>-</t>
        </is>
      </c>
      <c r="Q14" s="14" t="inlineStr">
        <is>
          <t>WO</t>
        </is>
      </c>
      <c r="R14" s="13" t="inlineStr">
        <is>
          <t>P</t>
        </is>
      </c>
      <c r="S14" s="13" t="inlineStr">
        <is>
          <t>P</t>
        </is>
      </c>
      <c r="T14" s="13" t="inlineStr">
        <is>
          <t>P</t>
        </is>
      </c>
      <c r="U14" s="13" t="inlineStr">
        <is>
          <t>P</t>
        </is>
      </c>
      <c r="V14" s="13" t="inlineStr">
        <is>
          <t>P</t>
        </is>
      </c>
      <c r="W14" s="25" t="inlineStr">
        <is>
          <t>CL</t>
        </is>
      </c>
      <c r="X14" s="14" t="inlineStr">
        <is>
          <t>WO</t>
        </is>
      </c>
      <c r="Y14" s="13" t="inlineStr">
        <is>
          <t>P</t>
        </is>
      </c>
      <c r="Z14" s="13" t="inlineStr">
        <is>
          <t>P</t>
        </is>
      </c>
      <c r="AA14" s="13" t="inlineStr">
        <is>
          <t>P</t>
        </is>
      </c>
      <c r="AB14" s="13" t="inlineStr">
        <is>
          <t>P</t>
        </is>
      </c>
      <c r="AC14" s="13" t="inlineStr">
        <is>
          <t>P</t>
        </is>
      </c>
      <c r="AD14" s="13" t="inlineStr">
        <is>
          <t>P</t>
        </is>
      </c>
      <c r="AE14" s="14" t="inlineStr">
        <is>
          <t>WO</t>
        </is>
      </c>
      <c r="AF14" s="15" t="inlineStr">
        <is>
          <t>-</t>
        </is>
      </c>
      <c r="AG14" s="16">
        <f>COUNTIF(B14:AF14, "P")</f>
        <v/>
      </c>
      <c r="AH14" s="17">
        <f>COUNTIF(B14:AF14, "CL")</f>
        <v/>
      </c>
      <c r="AI14" s="18">
        <f>COUNTIF(B14:AF14, "L")</f>
        <v/>
      </c>
      <c r="AJ14" s="19">
        <f>COUNTIF(B14:AF14, "WO")</f>
        <v/>
      </c>
      <c r="AK14" s="20">
        <f>COUNTIF(B14:AF14, "HO")</f>
        <v/>
      </c>
      <c r="AL14" s="21">
        <f>COUNTIF(B14:AF14, "CF")</f>
        <v/>
      </c>
      <c r="AM14" s="22">
        <f>AG14+AH14+AI14+AL14</f>
        <v/>
      </c>
      <c r="AN14" s="23">
        <f>IF(AM14&gt;0, AG14/AM14, 0)</f>
        <v/>
      </c>
    </row>
    <row r="15" ht="32" customHeight="1">
      <c r="A15" s="12" t="inlineStr">
        <is>
          <t>VANI
Employee</t>
        </is>
      </c>
      <c r="B15" s="13" t="inlineStr">
        <is>
          <t>P</t>
        </is>
      </c>
      <c r="C15" s="14" t="inlineStr">
        <is>
          <t>WO</t>
        </is>
      </c>
      <c r="D15" s="13" t="inlineStr">
        <is>
          <t>P</t>
        </is>
      </c>
      <c r="E15" s="13" t="inlineStr">
        <is>
          <t>P</t>
        </is>
      </c>
      <c r="F15" s="13" t="inlineStr">
        <is>
          <t>P</t>
        </is>
      </c>
      <c r="G15" s="25" t="inlineStr">
        <is>
          <t>CL</t>
        </is>
      </c>
      <c r="H15" s="13" t="inlineStr">
        <is>
          <t>P</t>
        </is>
      </c>
      <c r="I15" s="13" t="inlineStr">
        <is>
          <t>P</t>
        </is>
      </c>
      <c r="J15" s="14" t="inlineStr">
        <is>
          <t>WO</t>
        </is>
      </c>
      <c r="K15" s="13" t="inlineStr">
        <is>
          <t>P</t>
        </is>
      </c>
      <c r="L15" s="13" t="inlineStr">
        <is>
          <t>P</t>
        </is>
      </c>
      <c r="M15" s="13" t="inlineStr">
        <is>
          <t>P</t>
        </is>
      </c>
      <c r="N15" s="13" t="inlineStr">
        <is>
          <t>P</t>
        </is>
      </c>
      <c r="O15" s="13" t="inlineStr">
        <is>
          <t>P</t>
        </is>
      </c>
      <c r="P15" s="15" t="inlineStr">
        <is>
          <t>-</t>
        </is>
      </c>
      <c r="Q15" s="14" t="inlineStr">
        <is>
          <t>WO</t>
        </is>
      </c>
      <c r="R15" s="13" t="inlineStr">
        <is>
          <t>P</t>
        </is>
      </c>
      <c r="S15" s="13" t="inlineStr">
        <is>
          <t>P</t>
        </is>
      </c>
      <c r="T15" s="13" t="inlineStr">
        <is>
          <t>P</t>
        </is>
      </c>
      <c r="U15" s="13" t="inlineStr">
        <is>
          <t>P</t>
        </is>
      </c>
      <c r="V15" s="13" t="inlineStr">
        <is>
          <t>P</t>
        </is>
      </c>
      <c r="W15" s="13" t="inlineStr">
        <is>
          <t>P</t>
        </is>
      </c>
      <c r="X15" s="14" t="inlineStr">
        <is>
          <t>WO</t>
        </is>
      </c>
      <c r="Y15" s="13" t="inlineStr">
        <is>
          <t>P</t>
        </is>
      </c>
      <c r="Z15" s="13" t="inlineStr">
        <is>
          <t>P</t>
        </is>
      </c>
      <c r="AA15" s="13" t="inlineStr">
        <is>
          <t>P</t>
        </is>
      </c>
      <c r="AB15" s="13" t="inlineStr">
        <is>
          <t>P</t>
        </is>
      </c>
      <c r="AC15" s="13" t="inlineStr">
        <is>
          <t>P</t>
        </is>
      </c>
      <c r="AD15" s="13" t="inlineStr">
        <is>
          <t>P</t>
        </is>
      </c>
      <c r="AE15" s="14" t="inlineStr">
        <is>
          <t>WO</t>
        </is>
      </c>
      <c r="AF15" s="15" t="inlineStr">
        <is>
          <t>-</t>
        </is>
      </c>
      <c r="AG15" s="16">
        <f>COUNTIF(B15:AF15, "P")</f>
        <v/>
      </c>
      <c r="AH15" s="17">
        <f>COUNTIF(B15:AF15, "CL")</f>
        <v/>
      </c>
      <c r="AI15" s="18">
        <f>COUNTIF(B15:AF15, "L")</f>
        <v/>
      </c>
      <c r="AJ15" s="19">
        <f>COUNTIF(B15:AF15, "WO")</f>
        <v/>
      </c>
      <c r="AK15" s="20">
        <f>COUNTIF(B15:AF15, "HO")</f>
        <v/>
      </c>
      <c r="AL15" s="21">
        <f>COUNTIF(B15:AF15, "CF")</f>
        <v/>
      </c>
      <c r="AM15" s="22">
        <f>AG15+AH15+AI15+AL15</f>
        <v/>
      </c>
      <c r="AN15" s="23">
        <f>IF(AM15&gt;0, AG15/AM15, 0)</f>
        <v/>
      </c>
    </row>
    <row r="16" ht="32" customHeight="1">
      <c r="A16" s="24" t="inlineStr">
        <is>
          <t>Ch Praveen Kumar
Employee</t>
        </is>
      </c>
      <c r="B16" s="13" t="inlineStr">
        <is>
          <t>P</t>
        </is>
      </c>
      <c r="C16" s="13" t="inlineStr">
        <is>
          <t>P</t>
        </is>
      </c>
      <c r="D16" s="13" t="inlineStr">
        <is>
          <t>P</t>
        </is>
      </c>
      <c r="E16" s="13" t="inlineStr">
        <is>
          <t>P</t>
        </is>
      </c>
      <c r="F16" s="13" t="inlineStr">
        <is>
          <t>P</t>
        </is>
      </c>
      <c r="G16" s="13" t="inlineStr">
        <is>
          <t>P</t>
        </is>
      </c>
      <c r="H16" s="25" t="inlineStr">
        <is>
          <t>CL</t>
        </is>
      </c>
      <c r="I16" s="27" t="inlineStr">
        <is>
          <t>CF</t>
        </is>
      </c>
      <c r="J16" s="14" t="inlineStr">
        <is>
          <t>WO</t>
        </is>
      </c>
      <c r="K16" s="13" t="inlineStr">
        <is>
          <t>P</t>
        </is>
      </c>
      <c r="L16" s="13" t="inlineStr">
        <is>
          <t>P</t>
        </is>
      </c>
      <c r="M16" s="13" t="inlineStr">
        <is>
          <t>P</t>
        </is>
      </c>
      <c r="N16" s="13" t="inlineStr">
        <is>
          <t>P</t>
        </is>
      </c>
      <c r="O16" s="13" t="inlineStr">
        <is>
          <t>P</t>
        </is>
      </c>
      <c r="P16" s="13" t="inlineStr">
        <is>
          <t>P</t>
        </is>
      </c>
      <c r="Q16" s="14" t="inlineStr">
        <is>
          <t>WO</t>
        </is>
      </c>
      <c r="R16" s="13" t="inlineStr">
        <is>
          <t>P</t>
        </is>
      </c>
      <c r="S16" s="13" t="inlineStr">
        <is>
          <t>P</t>
        </is>
      </c>
      <c r="T16" s="13" t="inlineStr">
        <is>
          <t>P</t>
        </is>
      </c>
      <c r="U16" s="13" t="inlineStr">
        <is>
          <t>P</t>
        </is>
      </c>
      <c r="V16" s="13" t="inlineStr">
        <is>
          <t>P</t>
        </is>
      </c>
      <c r="W16" s="13" t="inlineStr">
        <is>
          <t>P</t>
        </is>
      </c>
      <c r="X16" s="14" t="inlineStr">
        <is>
          <t>WO</t>
        </is>
      </c>
      <c r="Y16" s="13" t="inlineStr">
        <is>
          <t>P</t>
        </is>
      </c>
      <c r="Z16" s="13" t="inlineStr">
        <is>
          <t>P</t>
        </is>
      </c>
      <c r="AA16" s="13" t="inlineStr">
        <is>
          <t>P</t>
        </is>
      </c>
      <c r="AB16" s="13" t="inlineStr">
        <is>
          <t>P</t>
        </is>
      </c>
      <c r="AC16" s="13" t="inlineStr">
        <is>
          <t>P</t>
        </is>
      </c>
      <c r="AD16" s="13" t="inlineStr">
        <is>
          <t>P</t>
        </is>
      </c>
      <c r="AE16" s="14" t="inlineStr">
        <is>
          <t>WO</t>
        </is>
      </c>
      <c r="AF16" s="15" t="inlineStr">
        <is>
          <t>-</t>
        </is>
      </c>
      <c r="AG16" s="16">
        <f>COUNTIF(B16:AF16, "P")</f>
        <v/>
      </c>
      <c r="AH16" s="17">
        <f>COUNTIF(B16:AF16, "CL")</f>
        <v/>
      </c>
      <c r="AI16" s="18">
        <f>COUNTIF(B16:AF16, "L")</f>
        <v/>
      </c>
      <c r="AJ16" s="19">
        <f>COUNTIF(B16:AF16, "WO")</f>
        <v/>
      </c>
      <c r="AK16" s="20">
        <f>COUNTIF(B16:AF16, "HO")</f>
        <v/>
      </c>
      <c r="AL16" s="21">
        <f>COUNTIF(B16:AF16, "CF")</f>
        <v/>
      </c>
      <c r="AM16" s="22">
        <f>AG16+AH16+AI16+AL16</f>
        <v/>
      </c>
      <c r="AN16" s="23">
        <f>IF(AM16&gt;0, AG16/AM16, 0)</f>
        <v/>
      </c>
    </row>
    <row r="17" ht="32" customHeight="1">
      <c r="A17" s="12" t="inlineStr">
        <is>
          <t>KAVITHA
Employee</t>
        </is>
      </c>
      <c r="B17" s="13" t="inlineStr">
        <is>
          <t>P</t>
        </is>
      </c>
      <c r="C17" s="14" t="inlineStr">
        <is>
          <t>WO</t>
        </is>
      </c>
      <c r="D17" s="13" t="inlineStr">
        <is>
          <t>P</t>
        </is>
      </c>
      <c r="E17" s="13" t="inlineStr">
        <is>
          <t>P</t>
        </is>
      </c>
      <c r="F17" s="13" t="inlineStr">
        <is>
          <t>P</t>
        </is>
      </c>
      <c r="G17" s="13" t="inlineStr">
        <is>
          <t>P</t>
        </is>
      </c>
      <c r="H17" s="13" t="inlineStr">
        <is>
          <t>P</t>
        </is>
      </c>
      <c r="I17" s="13" t="inlineStr">
        <is>
          <t>P</t>
        </is>
      </c>
      <c r="J17" s="14" t="inlineStr">
        <is>
          <t>WO</t>
        </is>
      </c>
      <c r="K17" s="13" t="inlineStr">
        <is>
          <t>P</t>
        </is>
      </c>
      <c r="L17" s="13" t="inlineStr">
        <is>
          <t>P</t>
        </is>
      </c>
      <c r="M17" s="13" t="inlineStr">
        <is>
          <t>P</t>
        </is>
      </c>
      <c r="N17" s="25" t="inlineStr">
        <is>
          <t>CL</t>
        </is>
      </c>
      <c r="O17" s="13" t="inlineStr">
        <is>
          <t>P</t>
        </is>
      </c>
      <c r="P17" s="13" t="inlineStr">
        <is>
          <t>P</t>
        </is>
      </c>
      <c r="Q17" s="14" t="inlineStr">
        <is>
          <t>WO</t>
        </is>
      </c>
      <c r="R17" s="13" t="inlineStr">
        <is>
          <t>P</t>
        </is>
      </c>
      <c r="S17" s="13" t="inlineStr">
        <is>
          <t>P</t>
        </is>
      </c>
      <c r="T17" s="13" t="inlineStr">
        <is>
          <t>P</t>
        </is>
      </c>
      <c r="U17" s="13" t="inlineStr">
        <is>
          <t>P</t>
        </is>
      </c>
      <c r="V17" s="13" t="inlineStr">
        <is>
          <t>P</t>
        </is>
      </c>
      <c r="W17" s="13" t="inlineStr">
        <is>
          <t>P</t>
        </is>
      </c>
      <c r="X17" s="14" t="inlineStr">
        <is>
          <t>WO</t>
        </is>
      </c>
      <c r="Y17" s="13" t="inlineStr">
        <is>
          <t>P</t>
        </is>
      </c>
      <c r="Z17" s="13" t="inlineStr">
        <is>
          <t>P</t>
        </is>
      </c>
      <c r="AA17" s="13" t="inlineStr">
        <is>
          <t>P</t>
        </is>
      </c>
      <c r="AB17" s="13" t="inlineStr">
        <is>
          <t>P</t>
        </is>
      </c>
      <c r="AC17" s="27" t="inlineStr">
        <is>
          <t>CF</t>
        </is>
      </c>
      <c r="AD17" s="13" t="inlineStr">
        <is>
          <t>P</t>
        </is>
      </c>
      <c r="AE17" s="14" t="inlineStr">
        <is>
          <t>WO</t>
        </is>
      </c>
      <c r="AF17" s="15" t="inlineStr">
        <is>
          <t>-</t>
        </is>
      </c>
      <c r="AG17" s="16">
        <f>COUNTIF(B17:AF17, "P")</f>
        <v/>
      </c>
      <c r="AH17" s="17">
        <f>COUNTIF(B17:AF17, "CL")</f>
        <v/>
      </c>
      <c r="AI17" s="18">
        <f>COUNTIF(B17:AF17, "L")</f>
        <v/>
      </c>
      <c r="AJ17" s="19">
        <f>COUNTIF(B17:AF17, "WO")</f>
        <v/>
      </c>
      <c r="AK17" s="20">
        <f>COUNTIF(B17:AF17, "HO")</f>
        <v/>
      </c>
      <c r="AL17" s="21">
        <f>COUNTIF(B17:AF17, "CF")</f>
        <v/>
      </c>
      <c r="AM17" s="22">
        <f>AG17+AH17+AI17+AL17</f>
        <v/>
      </c>
      <c r="AN17" s="23">
        <f>IF(AM17&gt;0, AG17/AM17, 0)</f>
        <v/>
      </c>
    </row>
    <row r="18" ht="32" customHeight="1">
      <c r="A18" s="24" t="inlineStr">
        <is>
          <t>VAIDEHI
Employee</t>
        </is>
      </c>
      <c r="B18" s="13" t="inlineStr">
        <is>
          <t>P</t>
        </is>
      </c>
      <c r="C18" s="14" t="inlineStr">
        <is>
          <t>WO</t>
        </is>
      </c>
      <c r="D18" s="13" t="inlineStr">
        <is>
          <t>P</t>
        </is>
      </c>
      <c r="E18" s="13" t="inlineStr">
        <is>
          <t>P</t>
        </is>
      </c>
      <c r="F18" s="13" t="inlineStr">
        <is>
          <t>P</t>
        </is>
      </c>
      <c r="G18" s="13" t="inlineStr">
        <is>
          <t>P</t>
        </is>
      </c>
      <c r="H18" s="13" t="inlineStr">
        <is>
          <t>P</t>
        </is>
      </c>
      <c r="I18" s="25" t="inlineStr">
        <is>
          <t>CL</t>
        </is>
      </c>
      <c r="J18" s="14" t="inlineStr">
        <is>
          <t>WO</t>
        </is>
      </c>
      <c r="K18" s="26" t="inlineStr">
        <is>
          <t>L</t>
        </is>
      </c>
      <c r="L18" s="13" t="inlineStr">
        <is>
          <t>P</t>
        </is>
      </c>
      <c r="M18" s="13" t="inlineStr">
        <is>
          <t>P</t>
        </is>
      </c>
      <c r="N18" s="13" t="inlineStr">
        <is>
          <t>P</t>
        </is>
      </c>
      <c r="O18" s="13" t="inlineStr">
        <is>
          <t>P</t>
        </is>
      </c>
      <c r="P18" s="15" t="inlineStr">
        <is>
          <t>-</t>
        </is>
      </c>
      <c r="Q18" s="14" t="inlineStr">
        <is>
          <t>WO</t>
        </is>
      </c>
      <c r="R18" s="13" t="inlineStr">
        <is>
          <t>P</t>
        </is>
      </c>
      <c r="S18" s="13" t="inlineStr">
        <is>
          <t>P</t>
        </is>
      </c>
      <c r="T18" s="13" t="inlineStr">
        <is>
          <t>P</t>
        </is>
      </c>
      <c r="U18" s="13" t="inlineStr">
        <is>
          <t>P</t>
        </is>
      </c>
      <c r="V18" s="13" t="inlineStr">
        <is>
          <t>P</t>
        </is>
      </c>
      <c r="W18" s="13" t="inlineStr">
        <is>
          <t>P</t>
        </is>
      </c>
      <c r="X18" s="14" t="inlineStr">
        <is>
          <t>WO</t>
        </is>
      </c>
      <c r="Y18" s="13" t="inlineStr">
        <is>
          <t>P</t>
        </is>
      </c>
      <c r="Z18" s="13" t="inlineStr">
        <is>
          <t>P</t>
        </is>
      </c>
      <c r="AA18" s="13" t="inlineStr">
        <is>
          <t>P</t>
        </is>
      </c>
      <c r="AB18" s="13" t="inlineStr">
        <is>
          <t>P</t>
        </is>
      </c>
      <c r="AC18" s="13" t="inlineStr">
        <is>
          <t>P</t>
        </is>
      </c>
      <c r="AD18" s="13" t="inlineStr">
        <is>
          <t>P</t>
        </is>
      </c>
      <c r="AE18" s="14" t="inlineStr">
        <is>
          <t>WO</t>
        </is>
      </c>
      <c r="AF18" s="15" t="inlineStr">
        <is>
          <t>-</t>
        </is>
      </c>
      <c r="AG18" s="16">
        <f>COUNTIF(B18:AF18, "P")</f>
        <v/>
      </c>
      <c r="AH18" s="17">
        <f>COUNTIF(B18:AF18, "CL")</f>
        <v/>
      </c>
      <c r="AI18" s="18">
        <f>COUNTIF(B18:AF18, "L")</f>
        <v/>
      </c>
      <c r="AJ18" s="19">
        <f>COUNTIF(B18:AF18, "WO")</f>
        <v/>
      </c>
      <c r="AK18" s="20">
        <f>COUNTIF(B18:AF18, "HO")</f>
        <v/>
      </c>
      <c r="AL18" s="21">
        <f>COUNTIF(B18:AF18, "CF")</f>
        <v/>
      </c>
      <c r="AM18" s="22">
        <f>AG18+AH18+AI18+AL18</f>
        <v/>
      </c>
      <c r="AN18" s="23">
        <f>IF(AM18&gt;0, AG18/AM18, 0)</f>
        <v/>
      </c>
    </row>
    <row r="19" ht="32" customHeight="1">
      <c r="A19" s="12" t="inlineStr">
        <is>
          <t>VAISHNAVI
Employee</t>
        </is>
      </c>
      <c r="B19" s="13" t="inlineStr">
        <is>
          <t>P</t>
        </is>
      </c>
      <c r="C19" s="14" t="inlineStr">
        <is>
          <t>WO</t>
        </is>
      </c>
      <c r="D19" s="25" t="inlineStr">
        <is>
          <t>CL</t>
        </is>
      </c>
      <c r="E19" s="13" t="inlineStr">
        <is>
          <t>P</t>
        </is>
      </c>
      <c r="F19" s="13" t="inlineStr">
        <is>
          <t>P</t>
        </is>
      </c>
      <c r="G19" s="13" t="inlineStr">
        <is>
          <t>P</t>
        </is>
      </c>
      <c r="H19" s="13" t="inlineStr">
        <is>
          <t>P</t>
        </is>
      </c>
      <c r="I19" s="13" t="inlineStr">
        <is>
          <t>P</t>
        </is>
      </c>
      <c r="J19" s="14" t="inlineStr">
        <is>
          <t>WO</t>
        </is>
      </c>
      <c r="K19" s="13" t="inlineStr">
        <is>
          <t>P</t>
        </is>
      </c>
      <c r="L19" s="13" t="inlineStr">
        <is>
          <t>P</t>
        </is>
      </c>
      <c r="M19" s="13" t="inlineStr">
        <is>
          <t>P</t>
        </is>
      </c>
      <c r="N19" s="13" t="inlineStr">
        <is>
          <t>P</t>
        </is>
      </c>
      <c r="O19" s="13" t="inlineStr">
        <is>
          <t>P</t>
        </is>
      </c>
      <c r="P19" s="15" t="inlineStr">
        <is>
          <t>-</t>
        </is>
      </c>
      <c r="Q19" s="14" t="inlineStr">
        <is>
          <t>WO</t>
        </is>
      </c>
      <c r="R19" s="13" t="inlineStr">
        <is>
          <t>P</t>
        </is>
      </c>
      <c r="S19" s="13" t="inlineStr">
        <is>
          <t>P</t>
        </is>
      </c>
      <c r="T19" s="13" t="inlineStr">
        <is>
          <t>P</t>
        </is>
      </c>
      <c r="U19" s="26" t="inlineStr">
        <is>
          <t>L</t>
        </is>
      </c>
      <c r="V19" s="13" t="inlineStr">
        <is>
          <t>P</t>
        </is>
      </c>
      <c r="W19" s="13" t="inlineStr">
        <is>
          <t>P</t>
        </is>
      </c>
      <c r="X19" s="14" t="inlineStr">
        <is>
          <t>WO</t>
        </is>
      </c>
      <c r="Y19" s="13" t="inlineStr">
        <is>
          <t>P</t>
        </is>
      </c>
      <c r="Z19" s="13" t="inlineStr">
        <is>
          <t>P</t>
        </is>
      </c>
      <c r="AA19" s="13" t="inlineStr">
        <is>
          <t>P</t>
        </is>
      </c>
      <c r="AB19" s="13" t="inlineStr">
        <is>
          <t>P</t>
        </is>
      </c>
      <c r="AC19" s="13" t="inlineStr">
        <is>
          <t>P</t>
        </is>
      </c>
      <c r="AD19" s="13" t="inlineStr">
        <is>
          <t>P</t>
        </is>
      </c>
      <c r="AE19" s="14" t="inlineStr">
        <is>
          <t>WO</t>
        </is>
      </c>
      <c r="AF19" s="15" t="inlineStr">
        <is>
          <t>-</t>
        </is>
      </c>
      <c r="AG19" s="16">
        <f>COUNTIF(B19:AF19, "P")</f>
        <v/>
      </c>
      <c r="AH19" s="17">
        <f>COUNTIF(B19:AF19, "CL")</f>
        <v/>
      </c>
      <c r="AI19" s="18">
        <f>COUNTIF(B19:AF19, "L")</f>
        <v/>
      </c>
      <c r="AJ19" s="19">
        <f>COUNTIF(B19:AF19, "WO")</f>
        <v/>
      </c>
      <c r="AK19" s="20">
        <f>COUNTIF(B19:AF19, "HO")</f>
        <v/>
      </c>
      <c r="AL19" s="21">
        <f>COUNTIF(B19:AF19, "CF")</f>
        <v/>
      </c>
      <c r="AM19" s="22">
        <f>AG19+AH19+AI19+AL19</f>
        <v/>
      </c>
      <c r="AN19" s="23">
        <f>IF(AM19&gt;0, AG19/AM19, 0)</f>
        <v/>
      </c>
    </row>
    <row r="20" ht="32" customHeight="1">
      <c r="A20" s="24" t="inlineStr">
        <is>
          <t>SIRISHA
Employee</t>
        </is>
      </c>
      <c r="B20" s="13" t="inlineStr">
        <is>
          <t>P</t>
        </is>
      </c>
      <c r="C20" s="14" t="inlineStr">
        <is>
          <t>WO</t>
        </is>
      </c>
      <c r="D20" s="13" t="inlineStr">
        <is>
          <t>P</t>
        </is>
      </c>
      <c r="E20" s="13" t="inlineStr">
        <is>
          <t>P</t>
        </is>
      </c>
      <c r="F20" s="13" t="inlineStr">
        <is>
          <t>P</t>
        </is>
      </c>
      <c r="G20" s="13" t="inlineStr">
        <is>
          <t>P</t>
        </is>
      </c>
      <c r="H20" s="13" t="inlineStr">
        <is>
          <t>P</t>
        </is>
      </c>
      <c r="I20" s="13" t="inlineStr">
        <is>
          <t>P</t>
        </is>
      </c>
      <c r="J20" s="14" t="inlineStr">
        <is>
          <t>WO</t>
        </is>
      </c>
      <c r="K20" s="13" t="inlineStr">
        <is>
          <t>P</t>
        </is>
      </c>
      <c r="L20" s="13" t="inlineStr">
        <is>
          <t>P</t>
        </is>
      </c>
      <c r="M20" s="13" t="inlineStr">
        <is>
          <t>P</t>
        </is>
      </c>
      <c r="N20" s="13" t="inlineStr">
        <is>
          <t>P</t>
        </is>
      </c>
      <c r="O20" s="13" t="inlineStr">
        <is>
          <t>P</t>
        </is>
      </c>
      <c r="P20" s="13" t="inlineStr">
        <is>
          <t>P</t>
        </is>
      </c>
      <c r="Q20" s="14" t="inlineStr">
        <is>
          <t>WO</t>
        </is>
      </c>
      <c r="R20" s="13" t="inlineStr">
        <is>
          <t>P</t>
        </is>
      </c>
      <c r="S20" s="13" t="inlineStr">
        <is>
          <t>P</t>
        </is>
      </c>
      <c r="T20" s="13" t="inlineStr">
        <is>
          <t>P</t>
        </is>
      </c>
      <c r="U20" s="13" t="inlineStr">
        <is>
          <t>P</t>
        </is>
      </c>
      <c r="V20" s="25" t="inlineStr">
        <is>
          <t>CL</t>
        </is>
      </c>
      <c r="W20" s="27" t="inlineStr">
        <is>
          <t>CF</t>
        </is>
      </c>
      <c r="X20" s="14" t="inlineStr">
        <is>
          <t>WO</t>
        </is>
      </c>
      <c r="Y20" s="13" t="inlineStr">
        <is>
          <t>P</t>
        </is>
      </c>
      <c r="Z20" s="13" t="inlineStr">
        <is>
          <t>P</t>
        </is>
      </c>
      <c r="AA20" s="13" t="inlineStr">
        <is>
          <t>P</t>
        </is>
      </c>
      <c r="AB20" s="13" t="inlineStr">
        <is>
          <t>P</t>
        </is>
      </c>
      <c r="AC20" s="27" t="inlineStr">
        <is>
          <t>CF</t>
        </is>
      </c>
      <c r="AD20" s="13" t="inlineStr">
        <is>
          <t>P</t>
        </is>
      </c>
      <c r="AE20" s="14" t="inlineStr">
        <is>
          <t>WO</t>
        </is>
      </c>
      <c r="AF20" s="15" t="inlineStr">
        <is>
          <t>-</t>
        </is>
      </c>
      <c r="AG20" s="16">
        <f>COUNTIF(B20:AF20, "P")</f>
        <v/>
      </c>
      <c r="AH20" s="17">
        <f>COUNTIF(B20:AF20, "CL")</f>
        <v/>
      </c>
      <c r="AI20" s="18">
        <f>COUNTIF(B20:AF20, "L")</f>
        <v/>
      </c>
      <c r="AJ20" s="19">
        <f>COUNTIF(B20:AF20, "WO")</f>
        <v/>
      </c>
      <c r="AK20" s="20">
        <f>COUNTIF(B20:AF20, "HO")</f>
        <v/>
      </c>
      <c r="AL20" s="21">
        <f>COUNTIF(B20:AF20, "CF")</f>
        <v/>
      </c>
      <c r="AM20" s="22">
        <f>AG20+AH20+AI20+AL20</f>
        <v/>
      </c>
      <c r="AN20" s="23">
        <f>IF(AM20&gt;0, AG20/AM20, 0)</f>
        <v/>
      </c>
    </row>
    <row r="21" ht="32" customHeight="1">
      <c r="A21" s="12" t="inlineStr">
        <is>
          <t>SAI CHARAN
Employee</t>
        </is>
      </c>
      <c r="B21" s="13" t="inlineStr">
        <is>
          <t>P</t>
        </is>
      </c>
      <c r="C21" s="14" t="inlineStr">
        <is>
          <t>WO</t>
        </is>
      </c>
      <c r="D21" s="13" t="inlineStr">
        <is>
          <t>P</t>
        </is>
      </c>
      <c r="E21" s="26" t="inlineStr">
        <is>
          <t>L</t>
        </is>
      </c>
      <c r="F21" s="13" t="inlineStr">
        <is>
          <t>P</t>
        </is>
      </c>
      <c r="G21" s="13" t="inlineStr">
        <is>
          <t>P</t>
        </is>
      </c>
      <c r="H21" s="13" t="inlineStr">
        <is>
          <t>P</t>
        </is>
      </c>
      <c r="I21" s="13" t="inlineStr">
        <is>
          <t>P</t>
        </is>
      </c>
      <c r="J21" s="14" t="inlineStr">
        <is>
          <t>WO</t>
        </is>
      </c>
      <c r="K21" s="13" t="inlineStr">
        <is>
          <t>P</t>
        </is>
      </c>
      <c r="L21" s="13" t="inlineStr">
        <is>
          <t>P</t>
        </is>
      </c>
      <c r="M21" s="13" t="inlineStr">
        <is>
          <t>P</t>
        </is>
      </c>
      <c r="N21" s="13" t="inlineStr">
        <is>
          <t>P</t>
        </is>
      </c>
      <c r="O21" s="13" t="inlineStr">
        <is>
          <t>P</t>
        </is>
      </c>
      <c r="P21" s="15" t="inlineStr">
        <is>
          <t>-</t>
        </is>
      </c>
      <c r="Q21" s="14" t="inlineStr">
        <is>
          <t>WO</t>
        </is>
      </c>
      <c r="R21" s="13" t="inlineStr">
        <is>
          <t>P</t>
        </is>
      </c>
      <c r="S21" s="13" t="inlineStr">
        <is>
          <t>P</t>
        </is>
      </c>
      <c r="T21" s="13" t="inlineStr">
        <is>
          <t>P</t>
        </is>
      </c>
      <c r="U21" s="13" t="inlineStr">
        <is>
          <t>P</t>
        </is>
      </c>
      <c r="V21" s="13" t="inlineStr">
        <is>
          <t>P</t>
        </is>
      </c>
      <c r="W21" s="13" t="inlineStr">
        <is>
          <t>P</t>
        </is>
      </c>
      <c r="X21" s="14" t="inlineStr">
        <is>
          <t>WO</t>
        </is>
      </c>
      <c r="Y21" s="13" t="inlineStr">
        <is>
          <t>P</t>
        </is>
      </c>
      <c r="Z21" s="26" t="inlineStr">
        <is>
          <t>L</t>
        </is>
      </c>
      <c r="AA21" s="13" t="inlineStr">
        <is>
          <t>P</t>
        </is>
      </c>
      <c r="AB21" s="13" t="inlineStr">
        <is>
          <t>P</t>
        </is>
      </c>
      <c r="AC21" s="13" t="inlineStr">
        <is>
          <t>P</t>
        </is>
      </c>
      <c r="AD21" s="26" t="inlineStr">
        <is>
          <t>L</t>
        </is>
      </c>
      <c r="AE21" s="14" t="inlineStr">
        <is>
          <t>WO</t>
        </is>
      </c>
      <c r="AF21" s="15" t="inlineStr">
        <is>
          <t>-</t>
        </is>
      </c>
      <c r="AG21" s="16">
        <f>COUNTIF(B21:AF21, "P")</f>
        <v/>
      </c>
      <c r="AH21" s="17">
        <f>COUNTIF(B21:AF21, "CL")</f>
        <v/>
      </c>
      <c r="AI21" s="18">
        <f>COUNTIF(B21:AF21, "L")</f>
        <v/>
      </c>
      <c r="AJ21" s="19">
        <f>COUNTIF(B21:AF21, "WO")</f>
        <v/>
      </c>
      <c r="AK21" s="20">
        <f>COUNTIF(B21:AF21, "HO")</f>
        <v/>
      </c>
      <c r="AL21" s="21">
        <f>COUNTIF(B21:AF21, "CF")</f>
        <v/>
      </c>
      <c r="AM21" s="22">
        <f>AG21+AH21+AI21+AL21</f>
        <v/>
      </c>
      <c r="AN21" s="23">
        <f>IF(AM21&gt;0, AG21/AM21, 0)</f>
        <v/>
      </c>
    </row>
    <row r="22" ht="32" customHeight="1">
      <c r="A22" s="24" t="inlineStr">
        <is>
          <t>MANI
Employee</t>
        </is>
      </c>
      <c r="B22" s="13" t="inlineStr">
        <is>
          <t>P</t>
        </is>
      </c>
      <c r="C22" s="14" t="inlineStr">
        <is>
          <t>WO</t>
        </is>
      </c>
      <c r="D22" s="13" t="inlineStr">
        <is>
          <t>P</t>
        </is>
      </c>
      <c r="E22" s="25" t="inlineStr">
        <is>
          <t>CL</t>
        </is>
      </c>
      <c r="F22" s="13" t="inlineStr">
        <is>
          <t>P</t>
        </is>
      </c>
      <c r="G22" s="13" t="inlineStr">
        <is>
          <t>P</t>
        </is>
      </c>
      <c r="H22" s="13" t="inlineStr">
        <is>
          <t>P</t>
        </is>
      </c>
      <c r="I22" s="13" t="inlineStr">
        <is>
          <t>P</t>
        </is>
      </c>
      <c r="J22" s="14" t="inlineStr">
        <is>
          <t>WO</t>
        </is>
      </c>
      <c r="K22" s="27" t="inlineStr">
        <is>
          <t>CF</t>
        </is>
      </c>
      <c r="L22" s="26" t="inlineStr">
        <is>
          <t>L</t>
        </is>
      </c>
      <c r="M22" s="13" t="inlineStr">
        <is>
          <t>P</t>
        </is>
      </c>
      <c r="N22" s="13" t="inlineStr">
        <is>
          <t>P</t>
        </is>
      </c>
      <c r="O22" s="13" t="inlineStr">
        <is>
          <t>P</t>
        </is>
      </c>
      <c r="P22" s="15" t="inlineStr">
        <is>
          <t>-</t>
        </is>
      </c>
      <c r="Q22" s="14" t="inlineStr">
        <is>
          <t>WO</t>
        </is>
      </c>
      <c r="R22" s="26" t="inlineStr">
        <is>
          <t>L</t>
        </is>
      </c>
      <c r="S22" s="13" t="inlineStr">
        <is>
          <t>P</t>
        </is>
      </c>
      <c r="T22" s="13" t="inlineStr">
        <is>
          <t>P</t>
        </is>
      </c>
      <c r="U22" s="13" t="inlineStr">
        <is>
          <t>P</t>
        </is>
      </c>
      <c r="V22" s="13" t="inlineStr">
        <is>
          <t>P</t>
        </is>
      </c>
      <c r="W22" s="13" t="inlineStr">
        <is>
          <t>P</t>
        </is>
      </c>
      <c r="X22" s="13" t="inlineStr">
        <is>
          <t>P</t>
        </is>
      </c>
      <c r="Y22" s="13" t="inlineStr">
        <is>
          <t>P</t>
        </is>
      </c>
      <c r="Z22" s="13" t="inlineStr">
        <is>
          <t>P</t>
        </is>
      </c>
      <c r="AA22" s="26" t="inlineStr">
        <is>
          <t>L</t>
        </is>
      </c>
      <c r="AB22" s="26" t="inlineStr">
        <is>
          <t>L</t>
        </is>
      </c>
      <c r="AC22" s="26" t="inlineStr">
        <is>
          <t>L</t>
        </is>
      </c>
      <c r="AD22" s="13" t="inlineStr">
        <is>
          <t>P</t>
        </is>
      </c>
      <c r="AE22" s="14" t="inlineStr">
        <is>
          <t>WO</t>
        </is>
      </c>
      <c r="AF22" s="15" t="inlineStr">
        <is>
          <t>-</t>
        </is>
      </c>
      <c r="AG22" s="16">
        <f>COUNTIF(B22:AF22, "P")</f>
        <v/>
      </c>
      <c r="AH22" s="17">
        <f>COUNTIF(B22:AF22, "CL")</f>
        <v/>
      </c>
      <c r="AI22" s="18">
        <f>COUNTIF(B22:AF22, "L")</f>
        <v/>
      </c>
      <c r="AJ22" s="19">
        <f>COUNTIF(B22:AF22, "WO")</f>
        <v/>
      </c>
      <c r="AK22" s="20">
        <f>COUNTIF(B22:AF22, "HO")</f>
        <v/>
      </c>
      <c r="AL22" s="21">
        <f>COUNTIF(B22:AF22, "CF")</f>
        <v/>
      </c>
      <c r="AM22" s="22">
        <f>AG22+AH22+AI22+AL22</f>
        <v/>
      </c>
      <c r="AN22" s="23">
        <f>IF(AM22&gt;0, AG22/AM22, 0)</f>
        <v/>
      </c>
    </row>
    <row r="23" ht="32" customHeight="1">
      <c r="A23" s="12" t="inlineStr">
        <is>
          <t>PHANI
Employee</t>
        </is>
      </c>
      <c r="B23" s="13" t="inlineStr">
        <is>
          <t>P</t>
        </is>
      </c>
      <c r="C23" s="13" t="inlineStr">
        <is>
          <t>P</t>
        </is>
      </c>
      <c r="D23" s="13" t="inlineStr">
        <is>
          <t>P</t>
        </is>
      </c>
      <c r="E23" s="13" t="inlineStr">
        <is>
          <t>P</t>
        </is>
      </c>
      <c r="F23" s="13" t="inlineStr">
        <is>
          <t>P</t>
        </is>
      </c>
      <c r="G23" s="14" t="inlineStr">
        <is>
          <t>WO</t>
        </is>
      </c>
      <c r="H23" s="13" t="inlineStr">
        <is>
          <t>P</t>
        </is>
      </c>
      <c r="I23" s="13" t="inlineStr">
        <is>
          <t>P</t>
        </is>
      </c>
      <c r="J23" s="13" t="inlineStr">
        <is>
          <t>P</t>
        </is>
      </c>
      <c r="K23" s="14" t="inlineStr">
        <is>
          <t>WO</t>
        </is>
      </c>
      <c r="L23" s="13" t="inlineStr">
        <is>
          <t>P</t>
        </is>
      </c>
      <c r="M23" s="13" t="inlineStr">
        <is>
          <t>P</t>
        </is>
      </c>
      <c r="N23" s="13" t="inlineStr">
        <is>
          <t>P</t>
        </is>
      </c>
      <c r="O23" s="13" t="inlineStr">
        <is>
          <t>P</t>
        </is>
      </c>
      <c r="P23" s="15" t="inlineStr">
        <is>
          <t>-</t>
        </is>
      </c>
      <c r="Q23" s="25" t="inlineStr">
        <is>
          <t>CL</t>
        </is>
      </c>
      <c r="R23" s="13" t="inlineStr">
        <is>
          <t>P</t>
        </is>
      </c>
      <c r="S23" s="13" t="inlineStr">
        <is>
          <t>P</t>
        </is>
      </c>
      <c r="T23" s="13" t="inlineStr">
        <is>
          <t>P</t>
        </is>
      </c>
      <c r="U23" s="13" t="inlineStr">
        <is>
          <t>P</t>
        </is>
      </c>
      <c r="V23" s="14" t="inlineStr">
        <is>
          <t>WO</t>
        </is>
      </c>
      <c r="W23" s="27" t="inlineStr">
        <is>
          <t>CF</t>
        </is>
      </c>
      <c r="X23" s="27" t="inlineStr">
        <is>
          <t>CF</t>
        </is>
      </c>
      <c r="Y23" s="27" t="inlineStr">
        <is>
          <t>CF</t>
        </is>
      </c>
      <c r="Z23" s="27" t="inlineStr">
        <is>
          <t>CF</t>
        </is>
      </c>
      <c r="AA23" s="14" t="inlineStr">
        <is>
          <t>WO</t>
        </is>
      </c>
      <c r="AB23" s="26" t="inlineStr">
        <is>
          <t>L</t>
        </is>
      </c>
      <c r="AC23" s="26" t="inlineStr">
        <is>
          <t>L</t>
        </is>
      </c>
      <c r="AD23" s="26" t="inlineStr">
        <is>
          <t>L</t>
        </is>
      </c>
      <c r="AE23" s="13" t="inlineStr">
        <is>
          <t>P</t>
        </is>
      </c>
      <c r="AF23" s="15" t="inlineStr">
        <is>
          <t>-</t>
        </is>
      </c>
      <c r="AG23" s="16">
        <f>COUNTIF(B23:AF23, "P")</f>
        <v/>
      </c>
      <c r="AH23" s="17">
        <f>COUNTIF(B23:AF23, "CL")</f>
        <v/>
      </c>
      <c r="AI23" s="18">
        <f>COUNTIF(B23:AF23, "L")</f>
        <v/>
      </c>
      <c r="AJ23" s="19">
        <f>COUNTIF(B23:AF23, "WO")</f>
        <v/>
      </c>
      <c r="AK23" s="20">
        <f>COUNTIF(B23:AF23, "HO")</f>
        <v/>
      </c>
      <c r="AL23" s="21">
        <f>COUNTIF(B23:AF23, "CF")</f>
        <v/>
      </c>
      <c r="AM23" s="22">
        <f>AG23+AH23+AI23+AL23</f>
        <v/>
      </c>
      <c r="AN23" s="23">
        <f>IF(AM23&gt;0, AG23/AM23, 0)</f>
        <v/>
      </c>
    </row>
    <row r="24" ht="32" customHeight="1">
      <c r="A24" s="24" t="inlineStr">
        <is>
          <t>PRAVEEN KUMAR
Employee</t>
        </is>
      </c>
      <c r="B24" s="15" t="inlineStr">
        <is>
          <t>-</t>
        </is>
      </c>
      <c r="C24" s="15" t="inlineStr">
        <is>
          <t>-</t>
        </is>
      </c>
      <c r="D24" s="15" t="inlineStr">
        <is>
          <t>-</t>
        </is>
      </c>
      <c r="E24" s="15" t="inlineStr">
        <is>
          <t>-</t>
        </is>
      </c>
      <c r="F24" s="15" t="inlineStr">
        <is>
          <t>-</t>
        </is>
      </c>
      <c r="G24" s="15" t="inlineStr">
        <is>
          <t>-</t>
        </is>
      </c>
      <c r="H24" s="15" t="inlineStr">
        <is>
          <t>-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15" t="inlineStr">
        <is>
          <t>-</t>
        </is>
      </c>
      <c r="P24" s="15" t="inlineStr">
        <is>
          <t>-</t>
        </is>
      </c>
      <c r="Q24" s="15" t="inlineStr">
        <is>
          <t>-</t>
        </is>
      </c>
      <c r="R24" s="15" t="inlineStr">
        <is>
          <t>-</t>
        </is>
      </c>
      <c r="S24" s="15" t="inlineStr">
        <is>
          <t>-</t>
        </is>
      </c>
      <c r="T24" s="15" t="inlineStr">
        <is>
          <t>-</t>
        </is>
      </c>
      <c r="U24" s="15" t="inlineStr">
        <is>
          <t>-</t>
        </is>
      </c>
      <c r="V24" s="15" t="inlineStr">
        <is>
          <t>-</t>
        </is>
      </c>
      <c r="W24" s="15" t="inlineStr">
        <is>
          <t>-</t>
        </is>
      </c>
      <c r="X24" s="15" t="inlineStr">
        <is>
          <t>-</t>
        </is>
      </c>
      <c r="Y24" s="15" t="inlineStr">
        <is>
          <t>-</t>
        </is>
      </c>
      <c r="Z24" s="15" t="inlineStr">
        <is>
          <t>-</t>
        </is>
      </c>
      <c r="AA24" s="15" t="inlineStr">
        <is>
          <t>-</t>
        </is>
      </c>
      <c r="AB24" s="15" t="inlineStr">
        <is>
          <t>-</t>
        </is>
      </c>
      <c r="AC24" s="15" t="inlineStr">
        <is>
          <t>-</t>
        </is>
      </c>
      <c r="AD24" s="15" t="inlineStr">
        <is>
          <t>-</t>
        </is>
      </c>
      <c r="AE24" s="15" t="inlineStr">
        <is>
          <t>-</t>
        </is>
      </c>
      <c r="AF24" s="15" t="inlineStr">
        <is>
          <t>-</t>
        </is>
      </c>
      <c r="AG24" s="16">
        <f>COUNTIF(B24:AF24, "P")</f>
        <v/>
      </c>
      <c r="AH24" s="17">
        <f>COUNTIF(B24:AF24, "CL")</f>
        <v/>
      </c>
      <c r="AI24" s="18">
        <f>COUNTIF(B24:AF24, "L")</f>
        <v/>
      </c>
      <c r="AJ24" s="19">
        <f>COUNTIF(B24:AF24, "WO")</f>
        <v/>
      </c>
      <c r="AK24" s="20">
        <f>COUNTIF(B24:AF24, "HO")</f>
        <v/>
      </c>
      <c r="AL24" s="21">
        <f>COUNTIF(B24:AF24, "CF")</f>
        <v/>
      </c>
      <c r="AM24" s="22">
        <f>AG24+AH24+AI24+AL24</f>
        <v/>
      </c>
      <c r="AN24" s="23">
        <f>IF(AM24&gt;0, AG24/AM24, 0)</f>
        <v/>
      </c>
    </row>
    <row r="25" ht="32" customHeight="1">
      <c r="A25" s="12" t="inlineStr">
        <is>
          <t>RAVALI
Employee</t>
        </is>
      </c>
      <c r="B25" s="15" t="inlineStr">
        <is>
          <t>-</t>
        </is>
      </c>
      <c r="C25" s="15" t="inlineStr">
        <is>
          <t>-</t>
        </is>
      </c>
      <c r="D25" s="15" t="inlineStr">
        <is>
          <t>-</t>
        </is>
      </c>
      <c r="E25" s="15" t="inlineStr">
        <is>
          <t>-</t>
        </is>
      </c>
      <c r="F25" s="15" t="inlineStr">
        <is>
          <t>-</t>
        </is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  <c r="AG25" s="16">
        <f>COUNTIF(B25:AF25, "P")</f>
        <v/>
      </c>
      <c r="AH25" s="17">
        <f>COUNTIF(B25:AF25, "CL")</f>
        <v/>
      </c>
      <c r="AI25" s="18">
        <f>COUNTIF(B25:AF25, "L")</f>
        <v/>
      </c>
      <c r="AJ25" s="19">
        <f>COUNTIF(B25:AF25, "WO")</f>
        <v/>
      </c>
      <c r="AK25" s="20">
        <f>COUNTIF(B25:AF25, "HO")</f>
        <v/>
      </c>
      <c r="AL25" s="21">
        <f>COUNTIF(B25:AF25, "CF")</f>
        <v/>
      </c>
      <c r="AM25" s="22">
        <f>AG25+AH25+AI25+AL25</f>
        <v/>
      </c>
      <c r="AN25" s="23">
        <f>IF(AM25&gt;0, AG25/AM25, 0)</f>
        <v/>
      </c>
    </row>
    <row r="26" ht="32" customHeight="1">
      <c r="A26" s="24" t="inlineStr">
        <is>
          <t>VITTAL
Employee</t>
        </is>
      </c>
      <c r="B26" s="15" t="inlineStr">
        <is>
          <t>-</t>
        </is>
      </c>
      <c r="C26" s="15" t="inlineStr">
        <is>
          <t>-</t>
        </is>
      </c>
      <c r="D26" s="15" t="inlineStr">
        <is>
          <t>-</t>
        </is>
      </c>
      <c r="E26" s="15" t="inlineStr">
        <is>
          <t>-</t>
        </is>
      </c>
      <c r="F26" s="15" t="inlineStr">
        <is>
          <t>-</t>
        </is>
      </c>
      <c r="G26" s="15" t="inlineStr">
        <is>
          <t>-</t>
        </is>
      </c>
      <c r="H26" s="15" t="inlineStr">
        <is>
          <t>-</t>
        </is>
      </c>
      <c r="I26" s="15" t="inlineStr">
        <is>
          <t>-</t>
        </is>
      </c>
      <c r="J26" s="15" t="inlineStr">
        <is>
          <t>-</t>
        </is>
      </c>
      <c r="K26" s="15" t="inlineStr">
        <is>
          <t>-</t>
        </is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15" t="inlineStr">
        <is>
          <t>-</t>
        </is>
      </c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15" t="inlineStr">
        <is>
          <t>-</t>
        </is>
      </c>
      <c r="W26" s="15" t="inlineStr">
        <is>
          <t>-</t>
        </is>
      </c>
      <c r="X26" s="15" t="inlineStr">
        <is>
          <t>-</t>
        </is>
      </c>
      <c r="Y26" s="15" t="inlineStr">
        <is>
          <t>-</t>
        </is>
      </c>
      <c r="Z26" s="15" t="inlineStr">
        <is>
          <t>-</t>
        </is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  <c r="AF26" s="15" t="inlineStr">
        <is>
          <t>-</t>
        </is>
      </c>
      <c r="AG26" s="16">
        <f>COUNTIF(B26:AF26, "P")</f>
        <v/>
      </c>
      <c r="AH26" s="17">
        <f>COUNTIF(B26:AF26, "CL")</f>
        <v/>
      </c>
      <c r="AI26" s="18">
        <f>COUNTIF(B26:AF26, "L")</f>
        <v/>
      </c>
      <c r="AJ26" s="19">
        <f>COUNTIF(B26:AF26, "WO")</f>
        <v/>
      </c>
      <c r="AK26" s="20">
        <f>COUNTIF(B26:AF26, "HO")</f>
        <v/>
      </c>
      <c r="AL26" s="21">
        <f>COUNTIF(B26:AF26, "CF")</f>
        <v/>
      </c>
      <c r="AM26" s="22">
        <f>AG26+AH26+AI26+AL26</f>
        <v/>
      </c>
      <c r="AN26" s="23">
        <f>IF(AM26&gt;0, AG26/AM26, 0)</f>
        <v/>
      </c>
    </row>
    <row r="27" ht="30" customHeight="1">
      <c r="A27" s="28" t="inlineStr">
        <is>
          <t>Overall Staff Total / Daily Present</t>
        </is>
      </c>
      <c r="B27" s="29">
        <f>COUNTIF(B5:B26, "P")</f>
        <v/>
      </c>
      <c r="C27" s="29">
        <f>COUNTIF(C5:C26, "P")</f>
        <v/>
      </c>
      <c r="D27" s="29">
        <f>COUNTIF(D5:D26, "P")</f>
        <v/>
      </c>
      <c r="E27" s="29">
        <f>COUNTIF(E5:E26, "P")</f>
        <v/>
      </c>
      <c r="F27" s="29">
        <f>COUNTIF(F5:F26, "P")</f>
        <v/>
      </c>
      <c r="G27" s="29">
        <f>COUNTIF(G5:G26, "P")</f>
        <v/>
      </c>
      <c r="H27" s="29">
        <f>COUNTIF(H5:H26, "P")</f>
        <v/>
      </c>
      <c r="I27" s="29">
        <f>COUNTIF(I5:I26, "P")</f>
        <v/>
      </c>
      <c r="J27" s="29">
        <f>COUNTIF(J5:J26, "P")</f>
        <v/>
      </c>
      <c r="K27" s="29">
        <f>COUNTIF(K5:K26, "P")</f>
        <v/>
      </c>
      <c r="L27" s="29">
        <f>COUNTIF(L5:L26, "P")</f>
        <v/>
      </c>
      <c r="M27" s="29">
        <f>COUNTIF(M5:M26, "P")</f>
        <v/>
      </c>
      <c r="N27" s="29">
        <f>COUNTIF(N5:N26, "P")</f>
        <v/>
      </c>
      <c r="O27" s="29">
        <f>COUNTIF(O5:O26, "P")</f>
        <v/>
      </c>
      <c r="P27" s="29">
        <f>COUNTIF(P5:P26, "P")</f>
        <v/>
      </c>
      <c r="Q27" s="29">
        <f>COUNTIF(Q5:Q26, "P")</f>
        <v/>
      </c>
      <c r="R27" s="29">
        <f>COUNTIF(R5:R26, "P")</f>
        <v/>
      </c>
      <c r="S27" s="29">
        <f>COUNTIF(S5:S26, "P")</f>
        <v/>
      </c>
      <c r="T27" s="29">
        <f>COUNTIF(T5:T26, "P")</f>
        <v/>
      </c>
      <c r="U27" s="29">
        <f>COUNTIF(U5:U26, "P")</f>
        <v/>
      </c>
      <c r="V27" s="29">
        <f>COUNTIF(V5:V26, "P")</f>
        <v/>
      </c>
      <c r="W27" s="29">
        <f>COUNTIF(W5:W26, "P")</f>
        <v/>
      </c>
      <c r="X27" s="29">
        <f>COUNTIF(X5:X26, "P")</f>
        <v/>
      </c>
      <c r="Y27" s="29">
        <f>COUNTIF(Y5:Y26, "P")</f>
        <v/>
      </c>
      <c r="Z27" s="29">
        <f>COUNTIF(Z5:Z26, "P")</f>
        <v/>
      </c>
      <c r="AA27" s="29">
        <f>COUNTIF(AA5:AA26, "P")</f>
        <v/>
      </c>
      <c r="AB27" s="29">
        <f>COUNTIF(AB5:AB26, "P")</f>
        <v/>
      </c>
      <c r="AC27" s="29">
        <f>COUNTIF(AC5:AC26, "P")</f>
        <v/>
      </c>
      <c r="AD27" s="29">
        <f>COUNTIF(AD5:AD26, "P")</f>
        <v/>
      </c>
      <c r="AE27" s="29">
        <f>COUNTIF(AE5:AE26, "P")</f>
        <v/>
      </c>
      <c r="AF27" s="29">
        <f>COUNTIF(AF5:AF26, "P")</f>
        <v/>
      </c>
      <c r="AG27" s="30">
        <f>SUM(AG5:AG26)</f>
        <v/>
      </c>
      <c r="AH27" s="30">
        <f>SUM(AH5:AH26)</f>
        <v/>
      </c>
      <c r="AI27" s="30">
        <f>SUM(AI5:AI26)</f>
        <v/>
      </c>
      <c r="AJ27" s="30">
        <f>SUM(AJ5:AJ26)</f>
        <v/>
      </c>
      <c r="AK27" s="30">
        <f>SUM(AK5:AK26)</f>
        <v/>
      </c>
      <c r="AL27" s="30">
        <f>SUM(AL5:AL26)</f>
        <v/>
      </c>
      <c r="AM27" s="30">
        <f>SUM(AM5:AM26)</f>
        <v/>
      </c>
      <c r="AN27" s="31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